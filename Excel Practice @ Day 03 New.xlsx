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DMS\Downloads\"/>
    </mc:Choice>
  </mc:AlternateContent>
  <xr:revisionPtr revIDLastSave="0" documentId="13_ncr:1_{03EF1E40-B2C2-4D24-9C56-1678CE17296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atient_Data" sheetId="1" r:id="rId1"/>
    <sheet name="Questions" sheetId="3" r:id="rId2"/>
    <sheet name="Answers" sheetId="2" r:id="rId3"/>
  </sheets>
  <definedNames>
    <definedName name="_xlnm._FilterDatabase" localSheetId="0" hidden="1">Patient_Data!$A$1:$V$43</definedName>
    <definedName name="amount">Patient_Data!$K$2:$K$41</definedName>
    <definedName name="Bills">Patient_Data!$K$2:$K$41</definedName>
    <definedName name="Department">Patient_Data!$E$2:$E$41</definedName>
    <definedName name="dept">Patient_Data!$E:$E</definedName>
    <definedName name="STAY">Patient_Data!$M:$M</definedName>
    <definedName name="type">Patient_Data!$E$2:$E$41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2" i="1" l="1"/>
  <c r="H51" i="1"/>
  <c r="H50" i="1"/>
  <c r="I48" i="1"/>
  <c r="H49" i="1"/>
  <c r="H47" i="1"/>
  <c r="H48" i="1"/>
  <c r="H57" i="1"/>
  <c r="O31" i="1"/>
  <c r="O3" i="1"/>
  <c r="O4" i="1"/>
  <c r="O32" i="1"/>
  <c r="O5" i="1"/>
  <c r="O33" i="1"/>
  <c r="O6" i="1"/>
  <c r="O7" i="1"/>
  <c r="O8" i="1"/>
  <c r="O9" i="1"/>
  <c r="O34" i="1"/>
  <c r="O10" i="1"/>
  <c r="O11" i="1"/>
  <c r="O35" i="1"/>
  <c r="O12" i="1"/>
  <c r="O13" i="1"/>
  <c r="O36" i="1"/>
  <c r="O14" i="1"/>
  <c r="O15" i="1"/>
  <c r="O37" i="1"/>
  <c r="O16" i="1"/>
  <c r="O17" i="1"/>
  <c r="O38" i="1"/>
  <c r="O39" i="1"/>
  <c r="O18" i="1"/>
  <c r="O19" i="1"/>
  <c r="O20" i="1"/>
  <c r="O21" i="1"/>
  <c r="O40" i="1"/>
  <c r="O22" i="1"/>
  <c r="O41" i="1"/>
  <c r="O23" i="1"/>
  <c r="O24" i="1"/>
  <c r="O42" i="1"/>
  <c r="O25" i="1"/>
  <c r="O26" i="1"/>
  <c r="O27" i="1"/>
  <c r="O43" i="1"/>
  <c r="O28" i="1"/>
  <c r="O2" i="1"/>
  <c r="N31" i="1"/>
  <c r="N3" i="1"/>
  <c r="N4" i="1"/>
  <c r="N32" i="1"/>
  <c r="N5" i="1"/>
  <c r="N33" i="1"/>
  <c r="N6" i="1"/>
  <c r="N7" i="1"/>
  <c r="N8" i="1"/>
  <c r="N9" i="1"/>
  <c r="N34" i="1"/>
  <c r="N10" i="1"/>
  <c r="N11" i="1"/>
  <c r="N35" i="1"/>
  <c r="N12" i="1"/>
  <c r="N13" i="1"/>
  <c r="N36" i="1"/>
  <c r="N14" i="1"/>
  <c r="N15" i="1"/>
  <c r="N37" i="1"/>
  <c r="N16" i="1"/>
  <c r="N17" i="1"/>
  <c r="N38" i="1"/>
  <c r="N39" i="1"/>
  <c r="N18" i="1"/>
  <c r="N19" i="1"/>
  <c r="N20" i="1"/>
  <c r="N21" i="1"/>
  <c r="N40" i="1"/>
  <c r="N22" i="1"/>
  <c r="N41" i="1"/>
  <c r="N23" i="1"/>
  <c r="N24" i="1"/>
  <c r="N42" i="1"/>
  <c r="N25" i="1"/>
  <c r="N26" i="1"/>
  <c r="N27" i="1"/>
  <c r="N43" i="1"/>
  <c r="N28" i="1"/>
  <c r="N2" i="1"/>
  <c r="T31" i="1" a="1"/>
  <c r="T31" i="1" s="1"/>
  <c r="T3" i="1" a="1"/>
  <c r="T3" i="1" s="1"/>
  <c r="T4" i="1" a="1"/>
  <c r="T4" i="1" s="1"/>
  <c r="T32" i="1" a="1"/>
  <c r="T32" i="1" s="1"/>
  <c r="T5" i="1" a="1"/>
  <c r="T5" i="1" s="1"/>
  <c r="T33" i="1" a="1"/>
  <c r="T33" i="1" s="1"/>
  <c r="T6" i="1" a="1"/>
  <c r="T6" i="1" s="1"/>
  <c r="T7" i="1" a="1"/>
  <c r="T7" i="1" s="1"/>
  <c r="T8" i="1" a="1"/>
  <c r="T8" i="1" s="1"/>
  <c r="T9" i="1" a="1"/>
  <c r="T9" i="1" s="1"/>
  <c r="T34" i="1" a="1"/>
  <c r="T34" i="1" s="1"/>
  <c r="T10" i="1" a="1"/>
  <c r="T10" i="1" s="1"/>
  <c r="T11" i="1" a="1"/>
  <c r="T11" i="1" s="1"/>
  <c r="T35" i="1" a="1"/>
  <c r="T35" i="1" s="1"/>
  <c r="T12" i="1" a="1"/>
  <c r="T12" i="1" s="1"/>
  <c r="T13" i="1" a="1"/>
  <c r="T13" i="1" s="1"/>
  <c r="T36" i="1" a="1"/>
  <c r="T36" i="1" s="1"/>
  <c r="T14" i="1" a="1"/>
  <c r="T14" i="1" s="1"/>
  <c r="T15" i="1" a="1"/>
  <c r="T15" i="1" s="1"/>
  <c r="T37" i="1" a="1"/>
  <c r="T37" i="1" s="1"/>
  <c r="T16" i="1" a="1"/>
  <c r="T16" i="1" s="1"/>
  <c r="T17" i="1" a="1"/>
  <c r="T17" i="1" s="1"/>
  <c r="T38" i="1" a="1"/>
  <c r="T38" i="1" s="1"/>
  <c r="T39" i="1" a="1"/>
  <c r="T39" i="1"/>
  <c r="T18" i="1" a="1"/>
  <c r="T18" i="1" s="1"/>
  <c r="T19" i="1" a="1"/>
  <c r="T19" i="1" s="1"/>
  <c r="T20" i="1" a="1"/>
  <c r="T20" i="1" s="1"/>
  <c r="T21" i="1" a="1"/>
  <c r="T21" i="1" s="1"/>
  <c r="T40" i="1" a="1"/>
  <c r="T40" i="1" s="1"/>
  <c r="T22" i="1" a="1"/>
  <c r="T22" i="1" s="1"/>
  <c r="T41" i="1" a="1"/>
  <c r="T41" i="1" s="1"/>
  <c r="T23" i="1" a="1"/>
  <c r="T23" i="1"/>
  <c r="T24" i="1" a="1"/>
  <c r="T24" i="1" s="1"/>
  <c r="T42" i="1" a="1"/>
  <c r="T42" i="1" s="1"/>
  <c r="T25" i="1" a="1"/>
  <c r="T25" i="1" s="1"/>
  <c r="T2" i="1" a="1"/>
  <c r="T2" i="1" s="1"/>
  <c r="T26" i="1" a="1"/>
  <c r="T26" i="1" s="1"/>
  <c r="T27" i="1" a="1"/>
  <c r="T27" i="1" s="1"/>
  <c r="T43" i="1" a="1"/>
  <c r="T43" i="1" s="1"/>
  <c r="T28" i="1" a="1"/>
  <c r="T28" i="1" s="1"/>
  <c r="T29" i="1" a="1"/>
  <c r="T29" i="1" s="1"/>
  <c r="T30" i="1" a="1"/>
  <c r="T30" i="1" s="1"/>
  <c r="P17" i="1"/>
  <c r="P38" i="1"/>
  <c r="P39" i="1"/>
  <c r="P18" i="1"/>
  <c r="P19" i="1"/>
  <c r="P20" i="1"/>
  <c r="P21" i="1"/>
  <c r="P40" i="1"/>
  <c r="P22" i="1"/>
  <c r="P41" i="1"/>
  <c r="P23" i="1"/>
  <c r="P24" i="1"/>
  <c r="P42" i="1"/>
  <c r="P25" i="1"/>
  <c r="P26" i="1"/>
  <c r="P27" i="1"/>
  <c r="P43" i="1"/>
  <c r="P28" i="1"/>
  <c r="Q18" i="1"/>
  <c r="Q19" i="1"/>
  <c r="Q20" i="1"/>
  <c r="Q21" i="1"/>
  <c r="Q40" i="1"/>
  <c r="Q22" i="1"/>
  <c r="Q41" i="1"/>
  <c r="Q23" i="1"/>
  <c r="Q24" i="1"/>
  <c r="Q42" i="1"/>
  <c r="Q25" i="1"/>
  <c r="Q26" i="1"/>
  <c r="Q27" i="1"/>
  <c r="Q43" i="1"/>
  <c r="Q28" i="1"/>
  <c r="Q31" i="1"/>
  <c r="Q3" i="1"/>
  <c r="Q4" i="1"/>
  <c r="Q32" i="1"/>
  <c r="Q5" i="1"/>
  <c r="Q33" i="1"/>
  <c r="Q6" i="1"/>
  <c r="Q7" i="1"/>
  <c r="Q8" i="1"/>
  <c r="Q9" i="1"/>
  <c r="Q34" i="1"/>
  <c r="Q10" i="1"/>
  <c r="Q11" i="1"/>
  <c r="Q35" i="1"/>
  <c r="Q12" i="1"/>
  <c r="Q13" i="1"/>
  <c r="Q36" i="1"/>
  <c r="Q14" i="1"/>
  <c r="Q15" i="1"/>
  <c r="Q37" i="1"/>
  <c r="Q16" i="1"/>
  <c r="Q17" i="1"/>
  <c r="Q38" i="1"/>
  <c r="Q39" i="1"/>
  <c r="Q2" i="1"/>
  <c r="P31" i="1"/>
  <c r="P3" i="1"/>
  <c r="P4" i="1"/>
  <c r="P32" i="1"/>
  <c r="P5" i="1"/>
  <c r="P33" i="1"/>
  <c r="P6" i="1"/>
  <c r="P7" i="1"/>
  <c r="P8" i="1"/>
  <c r="P9" i="1"/>
  <c r="P34" i="1"/>
  <c r="P10" i="1"/>
  <c r="P11" i="1"/>
  <c r="P35" i="1"/>
  <c r="P12" i="1"/>
  <c r="P13" i="1"/>
  <c r="P36" i="1"/>
  <c r="P14" i="1"/>
  <c r="P15" i="1"/>
  <c r="P37" i="1"/>
  <c r="P2" i="1"/>
  <c r="P16" i="1"/>
  <c r="H53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<sst xmlns="http://schemas.openxmlformats.org/spreadsheetml/2006/main" count="475" uniqueCount="238">
  <si>
    <t>Patient_ID</t>
  </si>
  <si>
    <t>Patient_Name</t>
  </si>
  <si>
    <t>Age</t>
  </si>
  <si>
    <t>Gender</t>
  </si>
  <si>
    <t>Department</t>
  </si>
  <si>
    <t>Diagnosis</t>
  </si>
  <si>
    <t>Admission_Date</t>
  </si>
  <si>
    <t>Discharge_Date</t>
  </si>
  <si>
    <t>Doctor</t>
  </si>
  <si>
    <t>Insurance_Type</t>
  </si>
  <si>
    <t>Bill_Amount</t>
  </si>
  <si>
    <t>Payment_Status</t>
  </si>
  <si>
    <t>Length_of_Stay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</si>
  <si>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</si>
  <si>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</si>
  <si>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</si>
  <si>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</si>
  <si>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</si>
  <si>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</si>
  <si>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</si>
  <si>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</si>
  <si>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</si>
  <si>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</si>
  <si>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</si>
  <si>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</si>
  <si>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</si>
  <si>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</si>
  <si>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</si>
  <si>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</si>
  <si>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</si>
  <si>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</si>
  <si>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</si>
  <si>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</si>
  <si>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</si>
  <si>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</si>
  <si>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</si>
  <si>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</si>
  <si>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</si>
  <si>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</si>
  <si>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</si>
  <si>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</si>
  <si>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</si>
  <si>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</si>
  <si>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</si>
  <si>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</si>
  <si>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</si>
  <si>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</si>
  <si>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</si>
  <si>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</si>
  <si>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</si>
  <si>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</si>
  <si>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</si>
  <si>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</si>
  <si>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Aarav Sharma</t>
  </si>
  <si>
    <t>Diya Patel</t>
  </si>
  <si>
    <t>Rohan Kumar</t>
  </si>
  <si>
    <t>Ananya Reddy</t>
  </si>
  <si>
    <t>Vikram Singh</t>
  </si>
  <si>
    <t>Meera Nair</t>
  </si>
  <si>
    <t>Arjun Verma</t>
  </si>
  <si>
    <t>Sneha Iyer</t>
  </si>
  <si>
    <t>Karan Shah</t>
  </si>
  <si>
    <t>Priya Das</t>
  </si>
  <si>
    <t>Aditya Rao</t>
  </si>
  <si>
    <t>Kavya Menon</t>
  </si>
  <si>
    <t>Raj Malhotra</t>
  </si>
  <si>
    <t>Ishita Gupta</t>
  </si>
  <si>
    <t>Manish Yadav</t>
  </si>
  <si>
    <t>Neha Joshi</t>
  </si>
  <si>
    <t>Rahul Bose</t>
  </si>
  <si>
    <t>Simran Kaur</t>
  </si>
  <si>
    <t>Varun Kapoor</t>
  </si>
  <si>
    <t>Pooja Agarwal</t>
  </si>
  <si>
    <t>Harsh Jain</t>
  </si>
  <si>
    <t>Nandini Rao</t>
  </si>
  <si>
    <t>Siddharth Roy</t>
  </si>
  <si>
    <t>Shreya Kapoor</t>
  </si>
  <si>
    <t>Abhishek Das</t>
  </si>
  <si>
    <t>Anjali Shah</t>
  </si>
  <si>
    <t>Mohit Verma</t>
  </si>
  <si>
    <t>Riya Menon</t>
  </si>
  <si>
    <t>Deepak Nair</t>
  </si>
  <si>
    <t>Anu Reddy</t>
  </si>
  <si>
    <t>Sameer Khan</t>
  </si>
  <si>
    <t>Divya Iyer</t>
  </si>
  <si>
    <t>Akash Gupta</t>
  </si>
  <si>
    <t>Lakshmi Rao</t>
  </si>
  <si>
    <t>Nikhil Sharma</t>
  </si>
  <si>
    <t>Swati Patel</t>
  </si>
  <si>
    <t>Varun Reddy</t>
  </si>
  <si>
    <t>Rekha Menon</t>
  </si>
  <si>
    <t>Arvind Joshi</t>
  </si>
  <si>
    <t>Sonali Shah</t>
  </si>
  <si>
    <t>Male</t>
  </si>
  <si>
    <t>Female</t>
  </si>
  <si>
    <t>Cardiology</t>
  </si>
  <si>
    <t>Orthopedics</t>
  </si>
  <si>
    <t>General Medicine</t>
  </si>
  <si>
    <t>Neurology</t>
  </si>
  <si>
    <t>Dermatology</t>
  </si>
  <si>
    <t>Hypertension</t>
  </si>
  <si>
    <t>Fracture</t>
  </si>
  <si>
    <t>Diabetes</t>
  </si>
  <si>
    <t>Chest Pain</t>
  </si>
  <si>
    <t>Migraine</t>
  </si>
  <si>
    <t>Asthma</t>
  </si>
  <si>
    <t>Heart Disease</t>
  </si>
  <si>
    <t>Skin Allergy</t>
  </si>
  <si>
    <t>Arthritis</t>
  </si>
  <si>
    <t>Fever</t>
  </si>
  <si>
    <t>Seizure Disorder</t>
  </si>
  <si>
    <t>Back Pain</t>
  </si>
  <si>
    <t>Psoriasis</t>
  </si>
  <si>
    <t>Dr Rao</t>
  </si>
  <si>
    <t>Dr Mehta</t>
  </si>
  <si>
    <t>Dr Singh</t>
  </si>
  <si>
    <t>Dr Khan</t>
  </si>
  <si>
    <t>Dr Thomas</t>
  </si>
  <si>
    <t>Private Insurance</t>
  </si>
  <si>
    <t>Government</t>
  </si>
  <si>
    <t>Self Pay</t>
  </si>
  <si>
    <t>Paid</t>
  </si>
  <si>
    <t>Pending</t>
  </si>
  <si>
    <t>Find total hospital billing.</t>
  </si>
  <si>
    <t>Find total billing for Government insurance.</t>
  </si>
  <si>
    <t>Count patients with Pending payments.</t>
  </si>
  <si>
    <t>Find total Pending billing.</t>
  </si>
  <si>
    <t>Find total billing for Cardiology + Government insurance.</t>
  </si>
  <si>
    <t>Count Cardiology patients with Pending payment.</t>
  </si>
  <si>
    <t>Find average bill for patients with Private Insurance.</t>
  </si>
  <si>
    <t>Count patients with bills above ₹40,000.</t>
  </si>
  <si>
    <t>Find total billing for patients with bills above ₹40,000.</t>
  </si>
  <si>
    <t>Count patients staying more than 5 days.</t>
  </si>
  <si>
    <t>Find total billing for patients staying more than 5 days.</t>
  </si>
  <si>
    <t>Find total billing for Cardiology patients staying more than 5 days.</t>
  </si>
  <si>
    <t>Find average length of stay for Pending patients.</t>
  </si>
  <si>
    <t>Find maximum bill among Cardiology patients.</t>
  </si>
  <si>
    <t>Find minimum bill among Orthopedics patients.</t>
  </si>
  <si>
    <t>Find total billing for Cardialogy department.</t>
  </si>
  <si>
    <t>Count patients in Dermatology department.</t>
  </si>
  <si>
    <t>Find average bill by Neurology department.</t>
  </si>
  <si>
    <t>Number of Cardiology patients with Pending payments</t>
  </si>
  <si>
    <t>Average bill for Cardiology + Government Insurance</t>
  </si>
  <si>
    <t>#</t>
  </si>
  <si>
    <t>Analysis</t>
  </si>
  <si>
    <t>Function</t>
  </si>
  <si>
    <t>Answer</t>
  </si>
  <si>
    <t>Total hospital billing</t>
  </si>
  <si>
    <t>SUM</t>
  </si>
  <si>
    <t>Cardiology billing</t>
  </si>
  <si>
    <t>SUMIF</t>
  </si>
  <si>
    <t>Dermatology billing</t>
  </si>
  <si>
    <t>General Medicine billing</t>
  </si>
  <si>
    <t>Neurology billing</t>
  </si>
  <si>
    <t>Orthopedics billing</t>
  </si>
  <si>
    <t>Cardiology patients</t>
  </si>
  <si>
    <t>COUNTIF</t>
  </si>
  <si>
    <t>Dermatology patients</t>
  </si>
  <si>
    <t>General Medicine patients</t>
  </si>
  <si>
    <t>Neurology patients</t>
  </si>
  <si>
    <t>Orthopedics patients</t>
  </si>
  <si>
    <t>Avg Cardiology bill</t>
  </si>
  <si>
    <t>AVERAGEIF</t>
  </si>
  <si>
    <t>Avg Dermatology bill</t>
  </si>
  <si>
    <t>Avg General Medicine bill</t>
  </si>
  <si>
    <t>Avg Neurology bill</t>
  </si>
  <si>
    <t>Avg Orthopedics bill</t>
  </si>
  <si>
    <t>Government billing</t>
  </si>
  <si>
    <t>Pending patients</t>
  </si>
  <si>
    <t>Pending billing</t>
  </si>
  <si>
    <t>Cardiology + Government</t>
  </si>
  <si>
    <t>SUMIFS</t>
  </si>
  <si>
    <t>Cardiology + Pending</t>
  </si>
  <si>
    <t>COUNTIFS</t>
  </si>
  <si>
    <t>Private Insurance avg bill</t>
  </si>
  <si>
    <t>Bills &gt; ₹40,000</t>
  </si>
  <si>
    <t>Total bills &gt; ₹40,000</t>
  </si>
  <si>
    <t>Stay &gt; 5 days</t>
  </si>
  <si>
    <t>Billing for stay &gt; 5 days</t>
  </si>
  <si>
    <t>Cardiology + stay &gt; 5 days</t>
  </si>
  <si>
    <t>Avg stay of Pending patients</t>
  </si>
  <si>
    <t>5.8 days</t>
  </si>
  <si>
    <t>Maximum Cardiology bill</t>
  </si>
  <si>
    <t>MAXIFS</t>
  </si>
  <si>
    <t>Minimum Orthopedics bill</t>
  </si>
  <si>
    <t>MINIFS</t>
  </si>
  <si>
    <t>Question:</t>
  </si>
  <si>
    <r>
      <t xml:space="preserve">Create a new column called </t>
    </r>
    <r>
      <rPr>
        <b/>
        <sz val="11"/>
        <color theme="1"/>
        <rFont val="Calibri"/>
        <family val="2"/>
        <scheme val="minor"/>
      </rPr>
      <t>Payment Alert</t>
    </r>
    <r>
      <rPr>
        <sz val="11"/>
        <color theme="1"/>
        <rFont val="Calibri"/>
        <family val="2"/>
        <scheme val="minor"/>
      </rPr>
      <t>.</t>
    </r>
  </si>
  <si>
    <r>
      <t xml:space="preserve">If Payment Status is </t>
    </r>
    <r>
      <rPr>
        <sz val="10"/>
        <color theme="1"/>
        <rFont val="Arial Unicode MS"/>
      </rPr>
      <t>Pending</t>
    </r>
    <r>
      <rPr>
        <sz val="11"/>
        <color theme="1"/>
        <rFont val="Calibri"/>
        <family val="2"/>
        <scheme val="minor"/>
      </rPr>
      <t xml:space="preserve">, display </t>
    </r>
    <r>
      <rPr>
        <b/>
        <sz val="11"/>
        <color theme="1"/>
        <rFont val="Calibri"/>
        <family val="2"/>
        <scheme val="minor"/>
      </rPr>
      <t>"Follow Up"</t>
    </r>
    <r>
      <rPr>
        <sz val="11"/>
        <color theme="1"/>
        <rFont val="Calibri"/>
        <family val="2"/>
        <scheme val="minor"/>
      </rPr>
      <t xml:space="preserve">, otherwise display </t>
    </r>
    <r>
      <rPr>
        <b/>
        <sz val="11"/>
        <color theme="1"/>
        <rFont val="Calibri"/>
        <family val="2"/>
        <scheme val="minor"/>
      </rPr>
      <t>"No Action"</t>
    </r>
    <r>
      <rPr>
        <sz val="11"/>
        <color theme="1"/>
        <rFont val="Calibri"/>
        <family val="2"/>
        <scheme val="minor"/>
      </rPr>
      <t>.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</si>
  <si>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Bill Category</t>
    </r>
    <r>
      <rPr>
        <sz val="11"/>
        <color theme="1"/>
        <rFont val="Calibri"/>
        <family val="2"/>
        <scheme val="minor"/>
      </rPr>
      <t>.</t>
    </r>
  </si>
  <si>
    <r>
      <t xml:space="preserve">Bill &gt; ₹40,000 → </t>
    </r>
    <r>
      <rPr>
        <sz val="10"/>
        <color theme="1"/>
        <rFont val="Arial Unicode MS"/>
      </rPr>
      <t>High Bill</t>
    </r>
  </si>
  <si>
    <r>
      <t xml:space="preserve">Otherwise → </t>
    </r>
    <r>
      <rPr>
        <sz val="10"/>
        <color theme="1"/>
        <rFont val="Arial Unicode MS"/>
      </rPr>
      <t>Normal Bill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</si>
  <si>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Age Category</t>
    </r>
    <r>
      <rPr>
        <sz val="11"/>
        <color theme="1"/>
        <rFont val="Calibri"/>
        <family val="2"/>
        <scheme val="minor"/>
      </rPr>
      <t>.</t>
    </r>
  </si>
  <si>
    <t>Otherwise:Non-Senior</t>
  </si>
  <si>
    <t>If Age is 60 or above:Senior Citizen</t>
  </si>
  <si>
    <r>
      <t xml:space="preserve">A patient is a </t>
    </r>
    <r>
      <rPr>
        <b/>
        <sz val="11"/>
        <color theme="1"/>
        <rFont val="Calibri"/>
        <family val="2"/>
        <scheme val="minor"/>
      </rPr>
      <t>High Billing Case</t>
    </r>
    <r>
      <rPr>
        <sz val="11"/>
        <color theme="1"/>
        <rFont val="Calibri"/>
        <family val="2"/>
        <scheme val="minor"/>
      </rPr>
      <t xml:space="preserve"> if:</t>
    </r>
  </si>
  <si>
    <t>Bill Amount &gt; ₹40,000</t>
  </si>
  <si>
    <t>AND</t>
  </si>
  <si>
    <t>Length of Stay &gt; 5 days</t>
  </si>
  <si>
    <r>
      <t xml:space="preserve">A patient requires </t>
    </r>
    <r>
      <rPr>
        <b/>
        <sz val="11"/>
        <color theme="1"/>
        <rFont val="Calibri"/>
        <family val="2"/>
        <scheme val="minor"/>
      </rPr>
      <t>urgent payment follow-up</t>
    </r>
    <r>
      <rPr>
        <sz val="11"/>
        <color theme="1"/>
        <rFont val="Calibri"/>
        <family val="2"/>
        <scheme val="minor"/>
      </rPr>
      <t xml:space="preserve"> if:</t>
    </r>
  </si>
  <si>
    <t>Payment Status = Pending</t>
  </si>
  <si>
    <t>Bill Amount &gt; ₹30,000</t>
  </si>
  <si>
    <t>If the patient belongs to:</t>
  </si>
  <si>
    <t>Cardiology OR Neurology</t>
  </si>
  <si>
    <t>display:Priority Department Otherwise:Regular Department</t>
  </si>
  <si>
    <r>
      <t xml:space="preserve">If the payment status is </t>
    </r>
    <r>
      <rPr>
        <b/>
        <sz val="11"/>
        <color theme="1"/>
        <rFont val="Calibri"/>
        <family val="2"/>
        <scheme val="minor"/>
      </rPr>
      <t>NOT Pending</t>
    </r>
    <r>
      <rPr>
        <sz val="11"/>
        <color theme="1"/>
        <rFont val="Calibri"/>
        <family val="2"/>
        <scheme val="minor"/>
      </rPr>
      <t>, display:</t>
    </r>
  </si>
  <si>
    <t>Payment Completed Otherwise:Payment Pending</t>
  </si>
  <si>
    <t>create a bill category</t>
  </si>
  <si>
    <t>Bill Amount</t>
  </si>
  <si>
    <t>Category</t>
  </si>
  <si>
    <t>≥ ₹50,000</t>
  </si>
  <si>
    <t>Very High</t>
  </si>
  <si>
    <t>≥ ₹30,000</t>
  </si>
  <si>
    <t>High</t>
  </si>
  <si>
    <t>≥ ₹15,000</t>
  </si>
  <si>
    <t>Medium</t>
  </si>
  <si>
    <t>&lt; ₹15,000</t>
  </si>
  <si>
    <t>Low</t>
  </si>
  <si>
    <t>If:</t>
  </si>
  <si>
    <t>Bill &gt; ₹40,000</t>
  </si>
  <si>
    <t>AND Payment = Pending</t>
  </si>
  <si>
    <t>Output:High Financial Risk Otherwise:Normal</t>
  </si>
  <si>
    <t>Bill Category</t>
  </si>
  <si>
    <t>Age Category</t>
  </si>
  <si>
    <t>A patient needs management review if:</t>
  </si>
  <si>
    <r>
      <t xml:space="preserve">They are from </t>
    </r>
    <r>
      <rPr>
        <b/>
        <sz val="11"/>
        <color theme="1"/>
        <rFont val="Calibri"/>
        <family val="2"/>
        <scheme val="minor"/>
      </rPr>
      <t>Cardiology OR Orthopedics</t>
    </r>
    <r>
      <rPr>
        <sz val="11"/>
        <color theme="1"/>
        <rFont val="Calibri"/>
        <family val="2"/>
        <scheme val="minor"/>
      </rPr>
      <t>,</t>
    </r>
  </si>
  <si>
    <r>
      <t>AND</t>
    </r>
    <r>
      <rPr>
        <sz val="11"/>
        <color theme="1"/>
        <rFont val="Calibri"/>
        <family val="2"/>
        <scheme val="minor"/>
      </rPr>
      <t xml:space="preserve"> their bill is greater than ₹30,000.</t>
    </r>
    <r>
      <rPr>
        <b/>
        <sz val="11"/>
        <color theme="1"/>
        <rFont val="Calibri"/>
        <family val="2"/>
        <scheme val="minor"/>
      </rPr>
      <t xml:space="preserve"> then MR, NO Review</t>
    </r>
  </si>
  <si>
    <t>Payment Alert</t>
  </si>
  <si>
    <t>Case</t>
  </si>
  <si>
    <t>Payment FOLLOW-UP</t>
  </si>
  <si>
    <t>BILL AMT CATEGORY</t>
  </si>
  <si>
    <t>PENDING</t>
  </si>
  <si>
    <t>AGE CATEGORY</t>
  </si>
  <si>
    <t>MANAGEMENT REVIEW</t>
  </si>
  <si>
    <t>cardiology</t>
  </si>
  <si>
    <t>Insurance-Type</t>
  </si>
  <si>
    <t>paid</t>
  </si>
  <si>
    <t>`````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</si>
</sst>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8" formatCode="&quot;₹&quot;\ #,##0.00;[Red]&quot;₹&quot;\ \-#,##0.00"/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6" fontId="1" fillId="0" borderId="0" xfId="0" applyNumberFormat="1" applyFont="1" applyAlignment="1">
      <alignment horizontal="right" vertical="center" wrapText="1"/>
    </xf>
    <xf numFmtId="8" fontId="1" fillId="0" borderId="0" xfId="0" applyNumberFormat="1" applyFont="1" applyAlignment="1">
      <alignment horizontal="right"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6"/>
  <sheetViews>
    <sheetView tabSelected="1" topLeftCell="E34" zoomScaleNormal="100" workbookViewId="0">
      <selection activeCell="H54" sqref="H54"/>
    </sheetView>
  </sheetViews>
  <sheetFormatPr defaultRowHeight="15"/>
  <cols>
    <col min="1" max="1" width="10.140625" customWidth="1"/>
    <col min="2" max="2" width="16.28515625" customWidth="1"/>
    <col min="5" max="5" width="19.7109375" customWidth="1"/>
    <col min="6" max="6" width="15.85546875" customWidth="1"/>
    <col min="7" max="7" width="18.28515625" customWidth="1"/>
    <col min="8" max="8" width="23" customWidth="1"/>
    <col min="9" max="9" width="16.7109375" customWidth="1"/>
    <col min="10" max="10" width="19.5703125" customWidth="1"/>
    <col min="11" max="11" width="16.85546875" customWidth="1"/>
    <col min="12" max="12" width="18.42578125" customWidth="1"/>
    <col min="13" max="13" width="16.42578125" customWidth="1"/>
    <col min="14" max="14" width="21" customWidth="1"/>
    <col min="15" max="15" width="18" customWidth="1"/>
    <col min="16" max="16" width="18.85546875" customWidth="1"/>
    <col min="17" max="17" width="15.140625" customWidth="1"/>
    <col min="18" max="18" width="19.85546875" customWidth="1"/>
    <col min="19" max="19" width="17" customWidth="1"/>
    <col min="20" max="20" width="20.5703125" customWidth="1"/>
    <col min="21" max="21" width="14.7109375" customWidth="1"/>
    <col min="22" max="22" width="18.2851562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4" t="s">
        <v>227</v>
      </c>
      <c r="O1" s="10" t="s">
        <v>222</v>
      </c>
      <c r="P1" s="15" t="s">
        <v>223</v>
      </c>
      <c r="Q1" s="10" t="s">
        <v>228</v>
      </c>
      <c r="R1" s="10" t="s">
        <v>229</v>
      </c>
      <c r="S1" s="10" t="s">
        <v>232</v>
      </c>
      <c r="T1" s="10" t="s">
        <v>230</v>
      </c>
      <c r="U1" s="10" t="s">
        <v>231</v>
      </c>
      <c r="V1" s="10" t="s">
        <v>233</v>
      </c>
    </row>
    <row r="2" spans="1:22">
      <c r="A2" t="s">
        <v>13</v>
      </c>
      <c r="B2" t="s">
        <v>53</v>
      </c>
      <c r="C2">
        <v>34</v>
      </c>
      <c r="D2" t="s">
        <v>93</v>
      </c>
      <c r="E2" t="s">
        <v>95</v>
      </c>
      <c r="F2" t="s">
        <v>100</v>
      </c>
      <c r="G2" s="2">
        <v>46027</v>
      </c>
      <c r="H2" s="2">
        <v>46030</v>
      </c>
      <c r="I2" t="s">
        <v>113</v>
      </c>
      <c r="J2" t="s">
        <v>118</v>
      </c>
      <c r="K2">
        <v>18500</v>
      </c>
      <c r="L2" t="s">
        <v>121</v>
      </c>
      <c r="M2">
        <v>3</v>
      </c>
      <c r="N2" t="str">
        <f>IF(AND(L2="PENDING",K2&gt;30000),"URGENT FOLLOW-UP","NO ACTION")</f>
        <v>NO ACTION</v>
      </c>
      <c r="O2" t="str">
        <f>IF(K2&gt;40000,"HIGH ","NORMAL BILL")</f>
        <v>NORMAL BILL</v>
      </c>
      <c r="P2" t="str">
        <f>IF(C2&gt;60,"senior citizen","non senior citizen")</f>
        <v>non senior citizen</v>
      </c>
      <c r="Q2" t="str">
        <f>IF(AND(K2&gt;40000,M2&gt;5),"HBC","NHBC")</f>
        <v>NHBC</v>
      </c>
      <c r="T2" t="str" cm="1">
        <f t="array" ref="T2">_xlfn.SWITCH(TRUE,K2&gt;=50000,"VERY HIGH",K2&gt;=30000,"HIGH",K2&gt;15000,"MEDIUM",K2&lt;15000,"LOW")</f>
        <v>MEDIUM</v>
      </c>
    </row>
    <row r="3" spans="1:22">
      <c r="A3" t="s">
        <v>15</v>
      </c>
      <c r="B3" t="s">
        <v>55</v>
      </c>
      <c r="C3">
        <v>28</v>
      </c>
      <c r="D3" t="s">
        <v>93</v>
      </c>
      <c r="E3" t="s">
        <v>97</v>
      </c>
      <c r="F3" t="s">
        <v>102</v>
      </c>
      <c r="G3" s="2">
        <v>46032</v>
      </c>
      <c r="H3" s="2">
        <v>46035</v>
      </c>
      <c r="I3" t="s">
        <v>115</v>
      </c>
      <c r="J3" t="s">
        <v>118</v>
      </c>
      <c r="K3">
        <v>12000</v>
      </c>
      <c r="L3" t="s">
        <v>121</v>
      </c>
      <c r="M3">
        <v>3</v>
      </c>
      <c r="N3" t="str">
        <f>IF(AND(L3="PENDING",K3&gt;30000),"URGENT FOLLOW-UP","NO ACTION")</f>
        <v>NO ACTION</v>
      </c>
      <c r="O3" t="str">
        <f>IF(K3&gt;40000,"HIGH ","NORMAL BILL")</f>
        <v>NORMAL BILL</v>
      </c>
      <c r="P3" t="str">
        <f>IF(C3&gt;60,"senior citizen","non senior citizen")</f>
        <v>non senior citizen</v>
      </c>
      <c r="Q3" t="str">
        <f>IF(AND(K3&gt;40000,M3&gt;5),"HBC","NHBC")</f>
        <v>NHBC</v>
      </c>
      <c r="T3" t="str" cm="1">
        <f t="array" ref="T3">_xlfn.SWITCH(TRUE,K3&gt;=50000,"VERY HIGH",K3&gt;=30000,"HIGH",K3&gt;15000,"MEDIUM",K3&lt;15000,"LOW")</f>
        <v>LOW</v>
      </c>
    </row>
    <row r="4" spans="1:22">
      <c r="A4" t="s">
        <v>16</v>
      </c>
      <c r="B4" t="s">
        <v>56</v>
      </c>
      <c r="C4">
        <v>45</v>
      </c>
      <c r="D4" t="s">
        <v>94</v>
      </c>
      <c r="E4" t="s">
        <v>95</v>
      </c>
      <c r="F4" t="s">
        <v>103</v>
      </c>
      <c r="G4" s="2">
        <v>46034</v>
      </c>
      <c r="H4" s="2">
        <v>46039</v>
      </c>
      <c r="I4" t="s">
        <v>113</v>
      </c>
      <c r="J4" t="s">
        <v>120</v>
      </c>
      <c r="K4">
        <v>27500</v>
      </c>
      <c r="L4" t="s">
        <v>122</v>
      </c>
      <c r="M4">
        <v>5</v>
      </c>
      <c r="N4" t="str">
        <f>IF(AND(L2="PENDING",K2&gt;30000),"URGENT FOLLOW-UP","NO ACTION")</f>
        <v>NO ACTION</v>
      </c>
      <c r="O4" t="str">
        <f>IF(K4&gt;40000,"HIGH ","NORMAL BILL")</f>
        <v>NORMAL BILL</v>
      </c>
      <c r="P4" t="str">
        <f>IF(C4&gt;60,"senior citizen","non senior citizen")</f>
        <v>non senior citizen</v>
      </c>
      <c r="Q4" t="str">
        <f>IF(AND(K4&gt;40000,M4&gt;5),"HBC","NHBC")</f>
        <v>NHBC</v>
      </c>
      <c r="T4" t="str" cm="1">
        <f t="array" ref="T4">_xlfn.SWITCH(TRUE,K4&gt;=50000,"VERY HIGH",K4&gt;=30000,"HIGH",K4&gt;15000,"MEDIUM",K4&lt;15000,"LOW")</f>
        <v>MEDIUM</v>
      </c>
    </row>
    <row r="5" spans="1:22">
      <c r="A5" t="s">
        <v>18</v>
      </c>
      <c r="B5" t="s">
        <v>58</v>
      </c>
      <c r="C5">
        <v>39</v>
      </c>
      <c r="D5" t="s">
        <v>94</v>
      </c>
      <c r="E5" t="s">
        <v>97</v>
      </c>
      <c r="F5" t="s">
        <v>105</v>
      </c>
      <c r="G5" s="2">
        <v>46040</v>
      </c>
      <c r="H5" s="2">
        <v>46042</v>
      </c>
      <c r="I5" t="s">
        <v>115</v>
      </c>
      <c r="J5" t="s">
        <v>118</v>
      </c>
      <c r="K5">
        <v>9500</v>
      </c>
      <c r="L5" t="s">
        <v>121</v>
      </c>
      <c r="M5">
        <v>2</v>
      </c>
      <c r="N5" t="str">
        <f>IF(AND(L3="PENDING",K3&gt;30000),"URGENT FOLLOW-UP","NO ACTION")</f>
        <v>NO ACTION</v>
      </c>
      <c r="O5" t="str">
        <f>IF(K5&gt;40000,"HIGH ","NORMAL BILL")</f>
        <v>NORMAL BILL</v>
      </c>
      <c r="P5" t="str">
        <f>IF(C5&gt;60,"senior citizen","non senior citizen")</f>
        <v>non senior citizen</v>
      </c>
      <c r="Q5" t="str">
        <f>IF(AND(K5&gt;40000,M5&gt;5),"HBC","NHBC")</f>
        <v>NHBC</v>
      </c>
      <c r="T5" t="str" cm="1">
        <f t="array" ref="T5">_xlfn.SWITCH(TRUE,K5&gt;=50000,"VERY HIGH",K5&gt;=30000,"HIGH",K5&gt;15000,"MEDIUM",K5&lt;15000,"LOW")</f>
        <v>LOW</v>
      </c>
    </row>
    <row r="6" spans="1:22">
      <c r="A6" t="s">
        <v>20</v>
      </c>
      <c r="B6" t="s">
        <v>60</v>
      </c>
      <c r="C6">
        <v>31</v>
      </c>
      <c r="D6" t="s">
        <v>94</v>
      </c>
      <c r="E6" t="s">
        <v>99</v>
      </c>
      <c r="F6" t="s">
        <v>107</v>
      </c>
      <c r="G6" s="2">
        <v>46044</v>
      </c>
      <c r="H6" s="2">
        <v>46046</v>
      </c>
      <c r="I6" t="s">
        <v>117</v>
      </c>
      <c r="J6" t="s">
        <v>120</v>
      </c>
      <c r="K6">
        <v>7500</v>
      </c>
      <c r="L6" t="s">
        <v>121</v>
      </c>
      <c r="M6">
        <v>2</v>
      </c>
      <c r="N6" t="str">
        <f>IF(AND(L4="PENDING",K4&gt;30000),"URGENT FOLLOW-UP","NO ACTION")</f>
        <v>NO ACTION</v>
      </c>
      <c r="O6" t="str">
        <f>IF(K6&gt;40000,"HIGH ","NORMAL BILL")</f>
        <v>NORMAL BILL</v>
      </c>
      <c r="P6" t="str">
        <f>IF(C6&gt;60,"senior citizen","non senior citizen")</f>
        <v>non senior citizen</v>
      </c>
      <c r="Q6" t="str">
        <f>IF(AND(K6&gt;40000,M6&gt;5),"HBC","NHBC")</f>
        <v>NHBC</v>
      </c>
      <c r="T6" t="str" cm="1">
        <f t="array" ref="T6">_xlfn.SWITCH(TRUE,K6&gt;=50000,"VERY HIGH",K6&gt;=30000,"HIGH",K6&gt;15000,"MEDIUM",K6&lt;15000,"LOW")</f>
        <v>LOW</v>
      </c>
    </row>
    <row r="7" spans="1:22">
      <c r="A7" t="s">
        <v>21</v>
      </c>
      <c r="B7" t="s">
        <v>61</v>
      </c>
      <c r="C7">
        <v>56</v>
      </c>
      <c r="D7" t="s">
        <v>93</v>
      </c>
      <c r="E7" t="s">
        <v>96</v>
      </c>
      <c r="F7" t="s">
        <v>108</v>
      </c>
      <c r="G7" s="2">
        <v>46047</v>
      </c>
      <c r="H7" s="2">
        <v>46052</v>
      </c>
      <c r="I7" t="s">
        <v>114</v>
      </c>
      <c r="J7" t="s">
        <v>118</v>
      </c>
      <c r="K7">
        <v>24000</v>
      </c>
      <c r="L7" t="s">
        <v>121</v>
      </c>
      <c r="M7">
        <v>5</v>
      </c>
      <c r="N7" t="str">
        <f>IF(AND(L5="PENDING",K5&gt;30000),"URGENT FOLLOW-UP","NO ACTION")</f>
        <v>NO ACTION</v>
      </c>
      <c r="O7" t="str">
        <f>IF(K7&gt;40000,"HIGH ","NORMAL BILL")</f>
        <v>NORMAL BILL</v>
      </c>
      <c r="P7" t="str">
        <f>IF(C7&gt;60,"senior citizen","non senior citizen")</f>
        <v>non senior citizen</v>
      </c>
      <c r="Q7" t="str">
        <f>IF(AND(K7&gt;40000,M7&gt;5),"HBC","NHBC")</f>
        <v>NHBC</v>
      </c>
      <c r="T7" t="str" cm="1">
        <f t="array" ref="T7">_xlfn.SWITCH(TRUE,K7&gt;=50000,"VERY HIGH",K7&gt;=30000,"HIGH",K7&gt;15000,"MEDIUM",K7&lt;15000,"LOW")</f>
        <v>MEDIUM</v>
      </c>
    </row>
    <row r="8" spans="1:22">
      <c r="A8" t="s">
        <v>22</v>
      </c>
      <c r="B8" t="s">
        <v>62</v>
      </c>
      <c r="C8">
        <v>24</v>
      </c>
      <c r="D8" t="s">
        <v>94</v>
      </c>
      <c r="E8" t="s">
        <v>97</v>
      </c>
      <c r="F8" t="s">
        <v>109</v>
      </c>
      <c r="G8" s="2">
        <v>46050</v>
      </c>
      <c r="H8" s="2">
        <v>46052</v>
      </c>
      <c r="I8" t="s">
        <v>115</v>
      </c>
      <c r="J8" t="s">
        <v>120</v>
      </c>
      <c r="K8">
        <v>6500</v>
      </c>
      <c r="L8" t="s">
        <v>121</v>
      </c>
      <c r="M8">
        <v>2</v>
      </c>
      <c r="N8" t="str">
        <f>IF(AND(L6="PENDING",K6&gt;30000),"URGENT FOLLOW-UP","NO ACTION")</f>
        <v>NO ACTION</v>
      </c>
      <c r="O8" t="str">
        <f>IF(K8&gt;40000,"HIGH ","NORMAL BILL")</f>
        <v>NORMAL BILL</v>
      </c>
      <c r="P8" t="str">
        <f>IF(C8&gt;60,"senior citizen","non senior citizen")</f>
        <v>non senior citizen</v>
      </c>
      <c r="Q8" t="str">
        <f>IF(AND(K8&gt;40000,M8&gt;5),"HBC","NHBC")</f>
        <v>NHBC</v>
      </c>
      <c r="T8" t="str" cm="1">
        <f t="array" ref="T8">_xlfn.SWITCH(TRUE,K8&gt;=50000,"VERY HIGH",K8&gt;=30000,"HIGH",K8&gt;15000,"MEDIUM",K8&lt;15000,"LOW")</f>
        <v>LOW</v>
      </c>
    </row>
    <row r="9" spans="1:22">
      <c r="A9" t="s">
        <v>23</v>
      </c>
      <c r="B9" t="s">
        <v>63</v>
      </c>
      <c r="C9">
        <v>61</v>
      </c>
      <c r="D9" t="s">
        <v>93</v>
      </c>
      <c r="E9" t="s">
        <v>95</v>
      </c>
      <c r="F9" t="s">
        <v>100</v>
      </c>
      <c r="G9" s="2">
        <v>46055</v>
      </c>
      <c r="H9" s="2">
        <v>46059</v>
      </c>
      <c r="I9" t="s">
        <v>113</v>
      </c>
      <c r="J9" t="s">
        <v>118</v>
      </c>
      <c r="K9">
        <v>22000</v>
      </c>
      <c r="L9" t="s">
        <v>121</v>
      </c>
      <c r="M9">
        <v>4</v>
      </c>
      <c r="N9" t="str">
        <f>IF(AND(L7="PENDING",K7&gt;30000),"URGENT FOLLOW-UP","NO ACTION")</f>
        <v>NO ACTION</v>
      </c>
      <c r="O9" t="str">
        <f>IF(K9&gt;40000,"HIGH ","NORMAL BILL")</f>
        <v>NORMAL BILL</v>
      </c>
      <c r="P9" t="str">
        <f>IF(C9&gt;60,"senior citizen","non senior citizen")</f>
        <v>senior citizen</v>
      </c>
      <c r="Q9" t="str">
        <f>IF(AND(K9&gt;40000,M9&gt;5),"HBC","NHBC")</f>
        <v>NHBC</v>
      </c>
      <c r="T9" t="str" cm="1">
        <f t="array" ref="T9">_xlfn.SWITCH(TRUE,K9&gt;=50000,"VERY HIGH",K9&gt;=30000,"HIGH",K9&gt;15000,"MEDIUM",K9&lt;15000,"LOW")</f>
        <v>MEDIUM</v>
      </c>
    </row>
    <row r="10" spans="1:22">
      <c r="A10" t="s">
        <v>25</v>
      </c>
      <c r="B10" t="s">
        <v>65</v>
      </c>
      <c r="C10">
        <v>36</v>
      </c>
      <c r="D10" t="s">
        <v>93</v>
      </c>
      <c r="E10" t="s">
        <v>96</v>
      </c>
      <c r="F10" t="s">
        <v>111</v>
      </c>
      <c r="G10" s="2">
        <v>46059</v>
      </c>
      <c r="H10" s="2">
        <v>46062</v>
      </c>
      <c r="I10" t="s">
        <v>114</v>
      </c>
      <c r="J10" t="s">
        <v>120</v>
      </c>
      <c r="K10">
        <v>14500</v>
      </c>
      <c r="L10" t="s">
        <v>121</v>
      </c>
      <c r="M10">
        <v>3</v>
      </c>
      <c r="N10" t="str">
        <f>IF(AND(L8="PENDING",K8&gt;30000),"URGENT FOLLOW-UP","NO ACTION")</f>
        <v>NO ACTION</v>
      </c>
      <c r="O10" t="str">
        <f>IF(K10&gt;40000,"HIGH ","NORMAL BILL")</f>
        <v>NORMAL BILL</v>
      </c>
      <c r="P10" t="str">
        <f>IF(C10&gt;60,"senior citizen","non senior citizen")</f>
        <v>non senior citizen</v>
      </c>
      <c r="Q10" t="str">
        <f>IF(AND(K10&gt;40000,M10&gt;5),"HBC","NHBC")</f>
        <v>NHBC</v>
      </c>
      <c r="T10" t="str" cm="1">
        <f t="array" ref="T10">_xlfn.SWITCH(TRUE,K10&gt;=50000,"VERY HIGH",K10&gt;=30000,"HIGH",K10&gt;15000,"MEDIUM",K10&lt;15000,"LOW")</f>
        <v>LOW</v>
      </c>
    </row>
    <row r="11" spans="1:22">
      <c r="A11" t="s">
        <v>26</v>
      </c>
      <c r="B11" t="s">
        <v>66</v>
      </c>
      <c r="C11">
        <v>42</v>
      </c>
      <c r="D11" t="s">
        <v>94</v>
      </c>
      <c r="E11" t="s">
        <v>99</v>
      </c>
      <c r="F11" t="s">
        <v>112</v>
      </c>
      <c r="G11" s="2">
        <v>46061</v>
      </c>
      <c r="H11" s="2">
        <v>46065</v>
      </c>
      <c r="I11" t="s">
        <v>117</v>
      </c>
      <c r="J11" t="s">
        <v>118</v>
      </c>
      <c r="K11">
        <v>18000</v>
      </c>
      <c r="L11" t="s">
        <v>121</v>
      </c>
      <c r="M11">
        <v>4</v>
      </c>
      <c r="N11" t="str">
        <f>IF(AND(L9="PENDING",K9&gt;30000),"URGENT FOLLOW-UP","NO ACTION")</f>
        <v>NO ACTION</v>
      </c>
      <c r="O11" t="str">
        <f>IF(K11&gt;40000,"HIGH ","NORMAL BILL")</f>
        <v>NORMAL BILL</v>
      </c>
      <c r="P11" t="str">
        <f>IF(C11&gt;60,"senior citizen","non senior citizen")</f>
        <v>non senior citizen</v>
      </c>
      <c r="Q11" t="str">
        <f>IF(AND(K11&gt;40000,M11&gt;5),"HBC","NHBC")</f>
        <v>NHBC</v>
      </c>
      <c r="T11" t="str" cm="1">
        <f t="array" ref="T11">_xlfn.SWITCH(TRUE,K11&gt;=50000,"VERY HIGH",K11&gt;=30000,"HIGH",K11&gt;15000,"MEDIUM",K11&lt;15000,"LOW")</f>
        <v>MEDIUM</v>
      </c>
    </row>
    <row r="12" spans="1:22">
      <c r="A12" t="s">
        <v>28</v>
      </c>
      <c r="B12" t="s">
        <v>68</v>
      </c>
      <c r="C12">
        <v>29</v>
      </c>
      <c r="D12" t="s">
        <v>94</v>
      </c>
      <c r="E12" t="s">
        <v>97</v>
      </c>
      <c r="F12" t="s">
        <v>102</v>
      </c>
      <c r="G12" s="2">
        <v>46065</v>
      </c>
      <c r="H12" s="2">
        <v>46068</v>
      </c>
      <c r="I12" t="s">
        <v>115</v>
      </c>
      <c r="J12" t="s">
        <v>120</v>
      </c>
      <c r="K12">
        <v>10500</v>
      </c>
      <c r="L12" t="s">
        <v>121</v>
      </c>
      <c r="M12">
        <v>3</v>
      </c>
      <c r="N12" t="str">
        <f>IF(AND(L10="PENDING",K10&gt;30000),"URGENT FOLLOW-UP","NO ACTION")</f>
        <v>NO ACTION</v>
      </c>
      <c r="O12" t="str">
        <f>IF(K12&gt;40000,"HIGH ","NORMAL BILL")</f>
        <v>NORMAL BILL</v>
      </c>
      <c r="P12" t="str">
        <f>IF(C12&gt;60,"senior citizen","non senior citizen")</f>
        <v>non senior citizen</v>
      </c>
      <c r="Q12" t="str">
        <f>IF(AND(K12&gt;40000,M12&gt;5),"HBC","NHBC")</f>
        <v>NHBC</v>
      </c>
      <c r="T12" t="str" cm="1">
        <f t="array" ref="T12">_xlfn.SWITCH(TRUE,K12&gt;=50000,"VERY HIGH",K12&gt;=30000,"HIGH",K12&gt;15000,"MEDIUM",K12&lt;15000,"LOW")</f>
        <v>LOW</v>
      </c>
    </row>
    <row r="13" spans="1:22">
      <c r="A13" t="s">
        <v>29</v>
      </c>
      <c r="B13" t="s">
        <v>69</v>
      </c>
      <c r="C13">
        <v>58</v>
      </c>
      <c r="D13" t="s">
        <v>93</v>
      </c>
      <c r="E13" t="s">
        <v>98</v>
      </c>
      <c r="F13" t="s">
        <v>104</v>
      </c>
      <c r="G13" s="2">
        <v>46068</v>
      </c>
      <c r="H13" s="2">
        <v>46071</v>
      </c>
      <c r="I13" t="s">
        <v>116</v>
      </c>
      <c r="J13" t="s">
        <v>118</v>
      </c>
      <c r="K13">
        <v>17500</v>
      </c>
      <c r="L13" t="s">
        <v>121</v>
      </c>
      <c r="M13">
        <v>3</v>
      </c>
      <c r="N13" t="str">
        <f>IF(AND(L11="PENDING",K11&gt;30000),"URGENT FOLLOW-UP","NO ACTION")</f>
        <v>NO ACTION</v>
      </c>
      <c r="O13" t="str">
        <f>IF(K13&gt;40000,"HIGH ","NORMAL BILL")</f>
        <v>NORMAL BILL</v>
      </c>
      <c r="P13" t="str">
        <f>IF(C13&gt;60,"senior citizen","non senior citizen")</f>
        <v>non senior citizen</v>
      </c>
      <c r="Q13" t="str">
        <f>IF(AND(K13&gt;40000,M13&gt;5),"HBC","NHBC")</f>
        <v>NHBC</v>
      </c>
      <c r="T13" t="str" cm="1">
        <f t="array" ref="T13">_xlfn.SWITCH(TRUE,K13&gt;=50000,"VERY HIGH",K13&gt;=30000,"HIGH",K13&gt;15000,"MEDIUM",K13&lt;15000,"LOW")</f>
        <v>MEDIUM</v>
      </c>
    </row>
    <row r="14" spans="1:22">
      <c r="A14" t="s">
        <v>31</v>
      </c>
      <c r="B14" t="s">
        <v>71</v>
      </c>
      <c r="C14">
        <v>47</v>
      </c>
      <c r="D14" t="s">
        <v>93</v>
      </c>
      <c r="E14" t="s">
        <v>99</v>
      </c>
      <c r="F14" t="s">
        <v>107</v>
      </c>
      <c r="G14" s="2">
        <v>46073</v>
      </c>
      <c r="H14" s="2">
        <v>46075</v>
      </c>
      <c r="I14" t="s">
        <v>117</v>
      </c>
      <c r="J14" t="s">
        <v>120</v>
      </c>
      <c r="K14">
        <v>8000</v>
      </c>
      <c r="L14" t="s">
        <v>122</v>
      </c>
      <c r="M14">
        <v>2</v>
      </c>
      <c r="N14" t="str">
        <f>IF(AND(L12="PENDING",K12&gt;30000),"URGENT FOLLOW-UP","NO ACTION")</f>
        <v>NO ACTION</v>
      </c>
      <c r="O14" t="str">
        <f>IF(K14&gt;40000,"HIGH ","NORMAL BILL")</f>
        <v>NORMAL BILL</v>
      </c>
      <c r="P14" t="str">
        <f>IF(C14&gt;60,"senior citizen","non senior citizen")</f>
        <v>non senior citizen</v>
      </c>
      <c r="Q14" t="str">
        <f>IF(AND(K14&gt;40000,M14&gt;5),"HBC","NHBC")</f>
        <v>NHBC</v>
      </c>
      <c r="T14" t="str" cm="1">
        <f t="array" ref="T14">_xlfn.SWITCH(TRUE,K14&gt;=50000,"VERY HIGH",K14&gt;=30000,"HIGH",K14&gt;15000,"MEDIUM",K14&lt;15000,"LOW")</f>
        <v>LOW</v>
      </c>
    </row>
    <row r="15" spans="1:22">
      <c r="A15" t="s">
        <v>32</v>
      </c>
      <c r="B15" t="s">
        <v>72</v>
      </c>
      <c r="C15">
        <v>55</v>
      </c>
      <c r="D15" t="s">
        <v>94</v>
      </c>
      <c r="E15" t="s">
        <v>95</v>
      </c>
      <c r="F15" t="s">
        <v>103</v>
      </c>
      <c r="G15" s="2">
        <v>46075</v>
      </c>
      <c r="H15" s="2">
        <v>46080</v>
      </c>
      <c r="I15" t="s">
        <v>113</v>
      </c>
      <c r="J15" t="s">
        <v>118</v>
      </c>
      <c r="K15">
        <v>31000</v>
      </c>
      <c r="L15" t="s">
        <v>121</v>
      </c>
      <c r="M15">
        <v>5</v>
      </c>
      <c r="N15" t="str">
        <f>IF(AND(L13="PENDING",K13&gt;30000),"URGENT FOLLOW-UP","NO ACTION")</f>
        <v>NO ACTION</v>
      </c>
      <c r="O15" t="str">
        <f>IF(K15&gt;40000,"HIGH ","NORMAL BILL")</f>
        <v>NORMAL BILL</v>
      </c>
      <c r="P15" t="str">
        <f>IF(C15&gt;60,"senior citizen","non senior citizen")</f>
        <v>non senior citizen</v>
      </c>
      <c r="Q15" t="str">
        <f>IF(AND(K15&gt;40000,M15&gt;5),"HBC","NHBC")</f>
        <v>NHBC</v>
      </c>
      <c r="T15" t="str" cm="1">
        <f t="array" ref="T15">_xlfn.SWITCH(TRUE,K15&gt;=50000,"VERY HIGH",K15&gt;=30000,"HIGH",K15&gt;15000,"MEDIUM",K15&lt;15000,"LOW")</f>
        <v>HIGH</v>
      </c>
    </row>
    <row r="16" spans="1:22">
      <c r="A16" t="s">
        <v>34</v>
      </c>
      <c r="B16" t="s">
        <v>74</v>
      </c>
      <c r="C16">
        <v>63</v>
      </c>
      <c r="D16" t="s">
        <v>94</v>
      </c>
      <c r="E16" t="s">
        <v>98</v>
      </c>
      <c r="F16" t="s">
        <v>110</v>
      </c>
      <c r="G16" s="2">
        <v>46084</v>
      </c>
      <c r="H16" s="2">
        <v>46093</v>
      </c>
      <c r="I16" t="s">
        <v>116</v>
      </c>
      <c r="J16" t="s">
        <v>118</v>
      </c>
      <c r="K16">
        <v>48000</v>
      </c>
      <c r="L16" t="s">
        <v>121</v>
      </c>
      <c r="M16">
        <v>9</v>
      </c>
      <c r="N16" t="str">
        <f>IF(AND(L14="PENDING",K14&gt;30000),"URGENT FOLLOW-UP","NO ACTION")</f>
        <v>NO ACTION</v>
      </c>
      <c r="O16" t="str">
        <f>IF(K16&gt;40000,"HIGH ","NORMAL BILL")</f>
        <v xml:space="preserve">HIGH </v>
      </c>
      <c r="P16" t="str">
        <f>IF(C16&gt;60,"senior citizen")</f>
        <v>senior citizen</v>
      </c>
      <c r="Q16" t="str">
        <f>IF(AND(K16&gt;40000,M16&gt;5),"HBC","NHBC")</f>
        <v>HBC</v>
      </c>
      <c r="T16" t="str" cm="1">
        <f t="array" ref="T16">_xlfn.SWITCH(TRUE,K16&gt;=50000,"VERY HIGH",K16&gt;=30000,"HIGH",K16&gt;15000,"MEDIUM",K16&lt;15000,"LOW")</f>
        <v>HIGH</v>
      </c>
    </row>
    <row r="17" spans="1:20">
      <c r="A17" t="s">
        <v>35</v>
      </c>
      <c r="B17" t="s">
        <v>75</v>
      </c>
      <c r="C17">
        <v>27</v>
      </c>
      <c r="D17" t="s">
        <v>93</v>
      </c>
      <c r="E17" t="s">
        <v>96</v>
      </c>
      <c r="F17" t="s">
        <v>111</v>
      </c>
      <c r="G17" s="2">
        <v>46086</v>
      </c>
      <c r="H17" s="2">
        <v>46089</v>
      </c>
      <c r="I17" t="s">
        <v>114</v>
      </c>
      <c r="J17" t="s">
        <v>120</v>
      </c>
      <c r="K17">
        <v>12500</v>
      </c>
      <c r="L17" t="s">
        <v>121</v>
      </c>
      <c r="M17">
        <v>3</v>
      </c>
      <c r="N17" t="str">
        <f>IF(AND(L15="PENDING",K15&gt;30000),"URGENT FOLLOW-UP","NO ACTION")</f>
        <v>NO ACTION</v>
      </c>
      <c r="O17" t="str">
        <f>IF(K17&gt;40000,"HIGH ","NORMAL BILL")</f>
        <v>NORMAL BILL</v>
      </c>
      <c r="P17" t="b">
        <f>IF(C17&gt;60,"senior citizen")</f>
        <v>0</v>
      </c>
      <c r="Q17" t="str">
        <f>IF(AND(K17&gt;40000,M17&gt;5),"HBC","NHBC")</f>
        <v>NHBC</v>
      </c>
      <c r="T17" t="str" cm="1">
        <f t="array" ref="T17">_xlfn.SWITCH(TRUE,K17&gt;=50000,"VERY HIGH",K17&gt;=30000,"HIGH",K17&gt;15000,"MEDIUM",K17&lt;15000,"LOW")</f>
        <v>LOW</v>
      </c>
    </row>
    <row r="18" spans="1:20">
      <c r="A18" t="s">
        <v>38</v>
      </c>
      <c r="B18" t="s">
        <v>78</v>
      </c>
      <c r="C18">
        <v>37</v>
      </c>
      <c r="D18" t="s">
        <v>94</v>
      </c>
      <c r="E18" t="s">
        <v>97</v>
      </c>
      <c r="F18" t="s">
        <v>109</v>
      </c>
      <c r="G18" s="2">
        <v>46093</v>
      </c>
      <c r="H18" s="2">
        <v>46095</v>
      </c>
      <c r="I18" t="s">
        <v>115</v>
      </c>
      <c r="J18" t="s">
        <v>120</v>
      </c>
      <c r="K18">
        <v>6200</v>
      </c>
      <c r="L18" t="s">
        <v>121</v>
      </c>
      <c r="M18">
        <v>2</v>
      </c>
      <c r="N18" t="str">
        <f>IF(AND(L16="PENDING",K16&gt;30000),"URGENT FOLLOW-UP","NO ACTION")</f>
        <v>NO ACTION</v>
      </c>
      <c r="O18" t="str">
        <f>IF(K18&gt;40000,"HIGH ","NORMAL BILL")</f>
        <v>NORMAL BILL</v>
      </c>
      <c r="P18" t="b">
        <f>IF(C18&gt;60,"senior citizen")</f>
        <v>0</v>
      </c>
      <c r="Q18" t="str">
        <f>IF(AND(K18&gt;40000,M18&gt;5),"HBC","NHBC")</f>
        <v>NHBC</v>
      </c>
      <c r="T18" t="str" cm="1">
        <f t="array" ref="T18">_xlfn.SWITCH(TRUE,K18&gt;=50000,"VERY HIGH",K18&gt;=30000,"HIGH",K18&gt;15000,"MEDIUM",K18&lt;15000,"LOW")</f>
        <v>LOW</v>
      </c>
    </row>
    <row r="19" spans="1:20">
      <c r="A19" t="s">
        <v>39</v>
      </c>
      <c r="B19" t="s">
        <v>79</v>
      </c>
      <c r="C19">
        <v>44</v>
      </c>
      <c r="D19" t="s">
        <v>93</v>
      </c>
      <c r="E19" t="s">
        <v>96</v>
      </c>
      <c r="F19" t="s">
        <v>108</v>
      </c>
      <c r="G19" s="2">
        <v>46096</v>
      </c>
      <c r="H19" s="2">
        <v>46101</v>
      </c>
      <c r="I19" t="s">
        <v>114</v>
      </c>
      <c r="J19" t="s">
        <v>118</v>
      </c>
      <c r="K19">
        <v>26000</v>
      </c>
      <c r="L19" t="s">
        <v>122</v>
      </c>
      <c r="M19">
        <v>5</v>
      </c>
      <c r="N19" t="str">
        <f>IF(AND(L17="PENDING",K17&gt;30000),"URGENT FOLLOW-UP","NO ACTION")</f>
        <v>NO ACTION</v>
      </c>
      <c r="O19" t="str">
        <f>IF(K19&gt;40000,"HIGH ","NORMAL BILL")</f>
        <v>NORMAL BILL</v>
      </c>
      <c r="P19" t="b">
        <f>IF(C19&gt;60,"senior citizen")</f>
        <v>0</v>
      </c>
      <c r="Q19" t="str">
        <f>IF(AND(K19&gt;40000,M19&gt;5),"HBC","NHBC")</f>
        <v>NHBC</v>
      </c>
      <c r="T19" t="str" cm="1">
        <f t="array" ref="T19">_xlfn.SWITCH(TRUE,K19&gt;=50000,"VERY HIGH",K19&gt;=30000,"HIGH",K19&gt;15000,"MEDIUM",K19&lt;15000,"LOW")</f>
        <v>MEDIUM</v>
      </c>
    </row>
    <row r="20" spans="1:20">
      <c r="A20" t="s">
        <v>40</v>
      </c>
      <c r="B20" t="s">
        <v>80</v>
      </c>
      <c r="C20">
        <v>30</v>
      </c>
      <c r="D20" t="s">
        <v>94</v>
      </c>
      <c r="E20" t="s">
        <v>98</v>
      </c>
      <c r="F20" t="s">
        <v>104</v>
      </c>
      <c r="G20" s="2">
        <v>46098</v>
      </c>
      <c r="H20" s="2">
        <v>46100</v>
      </c>
      <c r="I20" t="s">
        <v>116</v>
      </c>
      <c r="J20" t="s">
        <v>120</v>
      </c>
      <c r="K20">
        <v>9000</v>
      </c>
      <c r="L20" t="s">
        <v>121</v>
      </c>
      <c r="M20">
        <v>2</v>
      </c>
      <c r="N20" t="str">
        <f>IF(AND(L18="PENDING",K18&gt;30000),"URGENT FOLLOW-UP","NO ACTION")</f>
        <v>NO ACTION</v>
      </c>
      <c r="O20" t="str">
        <f>IF(K20&gt;40000,"HIGH ","NORMAL BILL")</f>
        <v>NORMAL BILL</v>
      </c>
      <c r="P20" t="b">
        <f>IF(C20&gt;60,"senior citizen")</f>
        <v>0</v>
      </c>
      <c r="Q20" t="str">
        <f>IF(AND(K20&gt;40000,M20&gt;5),"HBC","NHBC")</f>
        <v>NHBC</v>
      </c>
      <c r="T20" t="str" cm="1">
        <f t="array" ref="T20">_xlfn.SWITCH(TRUE,K20&gt;=50000,"VERY HIGH",K20&gt;=30000,"HIGH",K20&gt;15000,"MEDIUM",K20&lt;15000,"LOW")</f>
        <v>LOW</v>
      </c>
    </row>
    <row r="21" spans="1:20">
      <c r="A21" t="s">
        <v>41</v>
      </c>
      <c r="B21" t="s">
        <v>81</v>
      </c>
      <c r="C21">
        <v>59</v>
      </c>
      <c r="D21" t="s">
        <v>93</v>
      </c>
      <c r="E21" t="s">
        <v>99</v>
      </c>
      <c r="F21" t="s">
        <v>107</v>
      </c>
      <c r="G21" s="2">
        <v>46101</v>
      </c>
      <c r="H21" s="2">
        <v>46104</v>
      </c>
      <c r="I21" t="s">
        <v>117</v>
      </c>
      <c r="J21" t="s">
        <v>118</v>
      </c>
      <c r="K21">
        <v>11000</v>
      </c>
      <c r="L21" t="s">
        <v>121</v>
      </c>
      <c r="M21">
        <v>3</v>
      </c>
      <c r="N21" t="str">
        <f>IF(AND(L19="PENDING",K19&gt;30000),"URGENT FOLLOW-UP","NO ACTION")</f>
        <v>NO ACTION</v>
      </c>
      <c r="O21" t="str">
        <f>IF(K21&gt;40000,"HIGH ","NORMAL BILL")</f>
        <v>NORMAL BILL</v>
      </c>
      <c r="P21" t="b">
        <f>IF(C21&gt;60,"senior citizen")</f>
        <v>0</v>
      </c>
      <c r="Q21" t="str">
        <f>IF(AND(K21&gt;40000,M21&gt;5),"HBC","NHBC")</f>
        <v>NHBC</v>
      </c>
      <c r="T21" t="str" cm="1">
        <f t="array" ref="T21">_xlfn.SWITCH(TRUE,K21&gt;=50000,"VERY HIGH",K21&gt;=30000,"HIGH",K21&gt;15000,"MEDIUM",K21&lt;15000,"LOW")</f>
        <v>LOW</v>
      </c>
    </row>
    <row r="22" spans="1:20">
      <c r="A22" t="s">
        <v>43</v>
      </c>
      <c r="B22" t="s">
        <v>83</v>
      </c>
      <c r="C22">
        <v>35</v>
      </c>
      <c r="D22" t="s">
        <v>93</v>
      </c>
      <c r="E22" t="s">
        <v>97</v>
      </c>
      <c r="F22" t="s">
        <v>102</v>
      </c>
      <c r="G22" s="2">
        <v>46113</v>
      </c>
      <c r="H22" s="2">
        <v>46117</v>
      </c>
      <c r="I22" t="s">
        <v>115</v>
      </c>
      <c r="J22" t="s">
        <v>118</v>
      </c>
      <c r="K22">
        <v>14000</v>
      </c>
      <c r="L22" t="s">
        <v>121</v>
      </c>
      <c r="M22">
        <v>4</v>
      </c>
      <c r="N22" t="str">
        <f>IF(AND(L20="PENDING",K20&gt;30000),"URGENT FOLLOW-UP","NO ACTION")</f>
        <v>NO ACTION</v>
      </c>
      <c r="O22" t="str">
        <f>IF(K22&gt;40000,"HIGH ","NORMAL BILL")</f>
        <v>NORMAL BILL</v>
      </c>
      <c r="P22" t="b">
        <f>IF(C22&gt;60,"senior citizen")</f>
        <v>0</v>
      </c>
      <c r="Q22" t="str">
        <f>IF(AND(K22&gt;40000,M22&gt;5),"HBC","NHBC")</f>
        <v>NHBC</v>
      </c>
      <c r="T22" t="str" cm="1">
        <f t="array" ref="T22">_xlfn.SWITCH(TRUE,K22&gt;=50000,"VERY HIGH",K22&gt;=30000,"HIGH",K22&gt;15000,"MEDIUM",K22&lt;15000,"LOW")</f>
        <v>LOW</v>
      </c>
    </row>
    <row r="23" spans="1:20">
      <c r="A23" t="s">
        <v>45</v>
      </c>
      <c r="B23" t="s">
        <v>85</v>
      </c>
      <c r="C23">
        <v>49</v>
      </c>
      <c r="D23" t="s">
        <v>93</v>
      </c>
      <c r="E23" t="s">
        <v>96</v>
      </c>
      <c r="F23" t="s">
        <v>101</v>
      </c>
      <c r="G23" s="2">
        <v>46117</v>
      </c>
      <c r="H23" s="2">
        <v>46126</v>
      </c>
      <c r="I23" t="s">
        <v>114</v>
      </c>
      <c r="J23" t="s">
        <v>118</v>
      </c>
      <c r="K23">
        <v>47000</v>
      </c>
      <c r="L23" t="s">
        <v>121</v>
      </c>
      <c r="M23">
        <v>9</v>
      </c>
      <c r="N23" t="str">
        <f>IF(AND(L21="PENDING",K21&gt;30000),"URGENT FOLLOW-UP","NO ACTION")</f>
        <v>NO ACTION</v>
      </c>
      <c r="O23" t="str">
        <f>IF(K23&gt;40000,"HIGH ","NORMAL BILL")</f>
        <v xml:space="preserve">HIGH </v>
      </c>
      <c r="P23" t="b">
        <f>IF(C23&gt;60,"senior citizen")</f>
        <v>0</v>
      </c>
      <c r="Q23" t="str">
        <f>IF(AND(K23&gt;40000,M23&gt;5),"HBC","NHBC")</f>
        <v>HBC</v>
      </c>
      <c r="T23" t="str" cm="1">
        <f t="array" ref="T23">_xlfn.SWITCH(TRUE,K23&gt;=50000,"VERY HIGH",K23&gt;=30000,"HIGH",K23&gt;15000,"MEDIUM",K23&lt;15000,"LOW")</f>
        <v>HIGH</v>
      </c>
    </row>
    <row r="24" spans="1:20">
      <c r="A24" t="s">
        <v>46</v>
      </c>
      <c r="B24" t="s">
        <v>86</v>
      </c>
      <c r="C24">
        <v>38</v>
      </c>
      <c r="D24" t="s">
        <v>94</v>
      </c>
      <c r="E24" t="s">
        <v>99</v>
      </c>
      <c r="F24" t="s">
        <v>112</v>
      </c>
      <c r="G24" s="2">
        <v>46119</v>
      </c>
      <c r="H24" s="2">
        <v>46123</v>
      </c>
      <c r="I24" t="s">
        <v>117</v>
      </c>
      <c r="J24" t="s">
        <v>120</v>
      </c>
      <c r="K24">
        <v>17000</v>
      </c>
      <c r="L24" t="s">
        <v>121</v>
      </c>
      <c r="M24">
        <v>4</v>
      </c>
      <c r="N24" t="str">
        <f>IF(AND(L22="PENDING",K22&gt;30000),"URGENT FOLLOW-UP","NO ACTION")</f>
        <v>NO ACTION</v>
      </c>
      <c r="O24" t="str">
        <f>IF(K24&gt;40000,"HIGH ","NORMAL BILL")</f>
        <v>NORMAL BILL</v>
      </c>
      <c r="P24" t="b">
        <f>IF(C24&gt;60,"senior citizen")</f>
        <v>0</v>
      </c>
      <c r="Q24" t="str">
        <f>IF(AND(K24&gt;40000,M24&gt;5),"HBC","NHBC")</f>
        <v>NHBC</v>
      </c>
      <c r="T24" t="str" cm="1">
        <f t="array" ref="T24">_xlfn.SWITCH(TRUE,K24&gt;=50000,"VERY HIGH",K24&gt;=30000,"HIGH",K24&gt;15000,"MEDIUM",K24&lt;15000,"LOW")</f>
        <v>MEDIUM</v>
      </c>
    </row>
    <row r="25" spans="1:20">
      <c r="A25" t="s">
        <v>48</v>
      </c>
      <c r="B25" t="s">
        <v>88</v>
      </c>
      <c r="C25">
        <v>26</v>
      </c>
      <c r="D25" t="s">
        <v>94</v>
      </c>
      <c r="E25" t="s">
        <v>97</v>
      </c>
      <c r="F25" t="s">
        <v>109</v>
      </c>
      <c r="G25" s="2">
        <v>46124</v>
      </c>
      <c r="H25" s="2">
        <v>46126</v>
      </c>
      <c r="I25" t="s">
        <v>115</v>
      </c>
      <c r="J25" t="s">
        <v>120</v>
      </c>
      <c r="K25">
        <v>5800</v>
      </c>
      <c r="L25" t="s">
        <v>121</v>
      </c>
      <c r="M25">
        <v>2</v>
      </c>
      <c r="N25" t="str">
        <f>IF(AND(L23="PENDING",K23&gt;30000),"URGENT FOLLOW-UP","NO ACTION")</f>
        <v>NO ACTION</v>
      </c>
      <c r="O25" t="str">
        <f>IF(K25&gt;40000,"HIGH ","NORMAL BILL")</f>
        <v>NORMAL BILL</v>
      </c>
      <c r="P25" t="b">
        <f>IF(C25&gt;60,"senior citizen")</f>
        <v>0</v>
      </c>
      <c r="Q25" t="str">
        <f>IF(AND(K25&gt;40000,M25&gt;5),"HBC","NHBC")</f>
        <v>NHBC</v>
      </c>
      <c r="T25" t="str" cm="1">
        <f t="array" ref="T25">_xlfn.SWITCH(TRUE,K25&gt;=50000,"VERY HIGH",K25&gt;=30000,"HIGH",K25&gt;15000,"MEDIUM",K25&lt;15000,"LOW")</f>
        <v>LOW</v>
      </c>
    </row>
    <row r="26" spans="1:20">
      <c r="A26" t="s">
        <v>49</v>
      </c>
      <c r="B26" t="s">
        <v>89</v>
      </c>
      <c r="C26">
        <v>54</v>
      </c>
      <c r="D26" t="s">
        <v>93</v>
      </c>
      <c r="E26" t="s">
        <v>96</v>
      </c>
      <c r="F26" t="s">
        <v>111</v>
      </c>
      <c r="G26" s="2">
        <v>46127</v>
      </c>
      <c r="H26" s="2">
        <v>46131</v>
      </c>
      <c r="I26" t="s">
        <v>114</v>
      </c>
      <c r="J26" t="s">
        <v>118</v>
      </c>
      <c r="K26">
        <v>19000</v>
      </c>
      <c r="L26" t="s">
        <v>121</v>
      </c>
      <c r="M26">
        <v>4</v>
      </c>
      <c r="N26" t="str">
        <f>IF(AND(L24="PENDING",K24&gt;30000),"URGENT FOLLOW-UP","NO ACTION")</f>
        <v>NO ACTION</v>
      </c>
      <c r="O26" t="str">
        <f>IF(K26&gt;40000,"HIGH ","NORMAL BILL")</f>
        <v>NORMAL BILL</v>
      </c>
      <c r="P26" t="b">
        <f>IF(C26&gt;60,"senior citizen")</f>
        <v>0</v>
      </c>
      <c r="Q26" t="str">
        <f>IF(AND(K26&gt;40000,M26&gt;5),"HBC","NHBC")</f>
        <v>NHBC</v>
      </c>
      <c r="T26" t="str" cm="1">
        <f t="array" ref="T26">_xlfn.SWITCH(K26&gt;=50000,"VERY HIGH",K26&gt;=30000,"HIGH",K26&gt;15000,"MEDIUM",K26&lt;15000,"LOW")</f>
        <v>LOW</v>
      </c>
    </row>
    <row r="27" spans="1:20">
      <c r="A27" t="s">
        <v>50</v>
      </c>
      <c r="B27" t="s">
        <v>90</v>
      </c>
      <c r="C27">
        <v>43</v>
      </c>
      <c r="D27" t="s">
        <v>94</v>
      </c>
      <c r="E27" t="s">
        <v>98</v>
      </c>
      <c r="F27" t="s">
        <v>104</v>
      </c>
      <c r="G27" s="2">
        <v>46130</v>
      </c>
      <c r="H27" s="2">
        <v>46132</v>
      </c>
      <c r="I27" t="s">
        <v>116</v>
      </c>
      <c r="J27" t="s">
        <v>120</v>
      </c>
      <c r="K27">
        <v>8500</v>
      </c>
      <c r="L27" t="s">
        <v>121</v>
      </c>
      <c r="M27">
        <v>2</v>
      </c>
      <c r="N27" t="str">
        <f>IF(AND(L25="PENDING",K25&gt;30000),"URGENT FOLLOW-UP","NO ACTION")</f>
        <v>NO ACTION</v>
      </c>
      <c r="O27" t="str">
        <f>IF(K27&gt;40000,"HIGH ","NORMAL BILL")</f>
        <v>NORMAL BILL</v>
      </c>
      <c r="P27" t="b">
        <f>IF(C27&gt;60,"senior citizen")</f>
        <v>0</v>
      </c>
      <c r="Q27" t="str">
        <f>IF(AND(K27&gt;40000,M27&gt;5),"HBC","NHBC")</f>
        <v>NHBC</v>
      </c>
      <c r="T27" t="str" cm="1">
        <f t="array" ref="T27">_xlfn.SWITCH(K27&gt;=50000,"VERY HIGH",K27&gt;=30000,"HIGH",K27&gt;15000,"MEDIUM",K27&lt;15000,"LOW")</f>
        <v>LOW</v>
      </c>
    </row>
    <row r="28" spans="1:20">
      <c r="A28" t="s">
        <v>52</v>
      </c>
      <c r="B28" t="s">
        <v>92</v>
      </c>
      <c r="C28">
        <v>50</v>
      </c>
      <c r="D28" t="s">
        <v>94</v>
      </c>
      <c r="E28" t="s">
        <v>95</v>
      </c>
      <c r="F28" t="s">
        <v>106</v>
      </c>
      <c r="G28" s="2">
        <v>46134</v>
      </c>
      <c r="H28" s="2">
        <v>46144</v>
      </c>
      <c r="I28" t="s">
        <v>113</v>
      </c>
      <c r="J28" t="s">
        <v>118</v>
      </c>
      <c r="K28">
        <v>69000</v>
      </c>
      <c r="L28" t="s">
        <v>121</v>
      </c>
      <c r="M28">
        <v>10</v>
      </c>
      <c r="N28" t="str">
        <f>IF(AND(L26="PENDING",K26&gt;30000),"URGENT FOLLOW-UP","NO ACTION")</f>
        <v>NO ACTION</v>
      </c>
      <c r="O28" t="str">
        <f>IF(K28&gt;40000,"HIGH ","NORMAL BILL")</f>
        <v xml:space="preserve">HIGH </v>
      </c>
      <c r="P28" t="b">
        <f>IF(C28&gt;60,"senior citizen")</f>
        <v>0</v>
      </c>
      <c r="Q28" t="str">
        <f>IF(AND(K28&gt;40000,M28&gt;5),"HBC","NHBC")</f>
        <v>HBC</v>
      </c>
      <c r="T28" t="str" cm="1">
        <f t="array" ref="T28">_xlfn.SWITCH(K28&gt;=50000,"VERY HIGH",K28&gt;=30000,"HIGH",K28&gt;15000,"MEDIUM",K28&lt;15000,"LOW")</f>
        <v>LOW</v>
      </c>
    </row>
    <row r="29" spans="1:20">
      <c r="T29" t="str" cm="1">
        <f t="array" ref="T29">_xlfn.SWITCH(K29&gt;=50000,"VERY HIGH",K29&gt;=30000,"HIGH",K29&gt;15000,"MEDIUM",K29&lt;15000,"LOW")</f>
        <v>LOW</v>
      </c>
    </row>
    <row r="30" spans="1:20">
      <c r="T30" t="str" cm="1">
        <f t="array" ref="T30">_xlfn.SWITCH(K30&gt;=50000,"VERY HIGH",K30&gt;=30000,"HIGH",K30&gt;15000,"MEDIUM",K30&lt;15000,"LOW")</f>
        <v>LOW</v>
      </c>
    </row>
    <row r="31" spans="1:20">
      <c r="A31" t="s">
        <v>14</v>
      </c>
      <c r="B31" t="s">
        <v>54</v>
      </c>
      <c r="C31">
        <v>52</v>
      </c>
      <c r="D31" t="s">
        <v>94</v>
      </c>
      <c r="E31" t="s">
        <v>96</v>
      </c>
      <c r="F31" t="s">
        <v>101</v>
      </c>
      <c r="G31" s="2">
        <v>46029</v>
      </c>
      <c r="H31" s="2">
        <v>46037</v>
      </c>
      <c r="I31" t="s">
        <v>114</v>
      </c>
      <c r="J31" t="s">
        <v>119</v>
      </c>
      <c r="K31">
        <v>42000</v>
      </c>
      <c r="L31" t="s">
        <v>236</v>
      </c>
      <c r="M31">
        <v>8</v>
      </c>
      <c r="N31" t="str">
        <f>IF(AND(L32="PENDING",K31&gt;30000),"URGENT FOLLOW-UP","NO ACTION")</f>
        <v>NO ACTION</v>
      </c>
      <c r="O31" t="str">
        <f>IF(K31&gt;40000,"HIGH ","NORMAL BILL")</f>
        <v xml:space="preserve">HIGH </v>
      </c>
      <c r="P31" t="str">
        <f>IF(C31&gt;60,"senior citizen","non senior citizen")</f>
        <v>non senior citizen</v>
      </c>
      <c r="Q31" t="str">
        <f>IF(AND(K31&gt;40000,M31&gt;5),"HBC","NHBC")</f>
        <v>HBC</v>
      </c>
      <c r="T31" t="str" cm="1">
        <f t="array" ref="T31">_xlfn.SWITCH(TRUE,K31&gt;=50000,"VERY HIGH",K31&gt;=30000,"HIGH",K31&gt;15000,"MEDIUM",K31&lt;15000,"LOW")</f>
        <v>HIGH</v>
      </c>
    </row>
    <row r="32" spans="1:20">
      <c r="A32" t="s">
        <v>17</v>
      </c>
      <c r="B32" t="s">
        <v>57</v>
      </c>
      <c r="C32">
        <v>67</v>
      </c>
      <c r="D32" t="s">
        <v>93</v>
      </c>
      <c r="E32" t="s">
        <v>98</v>
      </c>
      <c r="F32" t="s">
        <v>104</v>
      </c>
      <c r="G32" s="2">
        <v>46037</v>
      </c>
      <c r="H32" s="2">
        <v>46040</v>
      </c>
      <c r="I32" t="s">
        <v>116</v>
      </c>
      <c r="J32" t="s">
        <v>119</v>
      </c>
      <c r="K32">
        <v>16000</v>
      </c>
      <c r="L32" t="s">
        <v>121</v>
      </c>
      <c r="M32">
        <v>3</v>
      </c>
      <c r="N32" t="str">
        <f>IF(AND(L30="PENDING",K30&gt;30000),"URGENT FOLLOW-UP","NO ACTION")</f>
        <v>NO ACTION</v>
      </c>
      <c r="O32" t="str">
        <f>IF(K32&gt;40000,"HIGH ","NORMAL BILL")</f>
        <v>NORMAL BILL</v>
      </c>
      <c r="P32" t="str">
        <f>IF(C32&gt;60,"senior citizen","non senior citizen")</f>
        <v>senior citizen</v>
      </c>
      <c r="Q32" t="str">
        <f>IF(AND(K32&gt;40000,M32&gt;5),"HBC","NHBC")</f>
        <v>NHBC</v>
      </c>
      <c r="T32" t="str" cm="1">
        <f t="array" ref="T32">_xlfn.SWITCH(TRUE,K32&gt;=50000,"VERY HIGH",K32&gt;=30000,"HIGH",K32&gt;15000,"MEDIUM",K32&lt;15000,"LOW")</f>
        <v>MEDIUM</v>
      </c>
    </row>
    <row r="33" spans="1:20">
      <c r="A33" t="s">
        <v>19</v>
      </c>
      <c r="B33" t="s">
        <v>59</v>
      </c>
      <c r="C33">
        <v>73</v>
      </c>
      <c r="D33" t="s">
        <v>93</v>
      </c>
      <c r="E33" t="s">
        <v>95</v>
      </c>
      <c r="F33" t="s">
        <v>106</v>
      </c>
      <c r="G33" s="2">
        <v>46042</v>
      </c>
      <c r="H33" s="2">
        <v>46051</v>
      </c>
      <c r="I33" t="s">
        <v>113</v>
      </c>
      <c r="J33" t="s">
        <v>119</v>
      </c>
      <c r="K33">
        <v>68000</v>
      </c>
      <c r="L33" s="1" t="s">
        <v>236</v>
      </c>
      <c r="M33">
        <v>9</v>
      </c>
      <c r="N33" t="str">
        <f>IF(AND(L32="PENDING",K31&gt;30000),"URGENT FOLLOW-UP","NO ACTION")</f>
        <v>NO ACTION</v>
      </c>
      <c r="O33" t="str">
        <f>IF(K33&gt;40000,"HIGH ","NORMAL BILL")</f>
        <v xml:space="preserve">HIGH </v>
      </c>
      <c r="P33" t="str">
        <f>IF(C33&gt;60,"senior citizen","non senior citizen")</f>
        <v>senior citizen</v>
      </c>
      <c r="Q33" t="str">
        <f>IF(AND(K33&gt;40000,M33&gt;5),"HBC","NHBC")</f>
        <v>HBC</v>
      </c>
      <c r="T33" t="str" cm="1">
        <f t="array" ref="T33">_xlfn.SWITCH(TRUE,K33&gt;=50000,"VERY HIGH",K33&gt;=30000,"HIGH",K33&gt;15000,"MEDIUM",K33&lt;15000,"LOW")</f>
        <v>VERY HIGH</v>
      </c>
    </row>
    <row r="34" spans="1:20">
      <c r="A34" t="s">
        <v>24</v>
      </c>
      <c r="B34" t="s">
        <v>64</v>
      </c>
      <c r="C34">
        <v>48</v>
      </c>
      <c r="D34" t="s">
        <v>94</v>
      </c>
      <c r="E34" t="s">
        <v>98</v>
      </c>
      <c r="F34" t="s">
        <v>110</v>
      </c>
      <c r="G34" s="2">
        <v>46057</v>
      </c>
      <c r="H34" s="2">
        <v>46064</v>
      </c>
      <c r="I34" t="s">
        <v>116</v>
      </c>
      <c r="J34" t="s">
        <v>119</v>
      </c>
      <c r="K34">
        <v>39000</v>
      </c>
      <c r="L34" t="s">
        <v>121</v>
      </c>
      <c r="M34">
        <v>7</v>
      </c>
      <c r="N34" t="str">
        <f>IF(AND(L33="PENDING",K32&gt;30000),"URGENT FOLLOW-UP","NO ACTION")</f>
        <v>NO ACTION</v>
      </c>
      <c r="O34" t="str">
        <f>IF(K34&gt;40000,"HIGH ","NORMAL BILL")</f>
        <v>NORMAL BILL</v>
      </c>
      <c r="P34" t="str">
        <f>IF(C34&gt;60,"senior citizen","non senior citizen")</f>
        <v>non senior citizen</v>
      </c>
      <c r="Q34" t="str">
        <f>IF(AND(K34&gt;40000,M34&gt;5),"HBC","NHBC")</f>
        <v>NHBC</v>
      </c>
      <c r="T34" t="str" cm="1">
        <f t="array" ref="T34">_xlfn.SWITCH(TRUE,K34&gt;=50000,"VERY HIGH",K34&gt;=30000,"HIGH",K34&gt;15000,"MEDIUM",K34&lt;15000,"LOW")</f>
        <v>HIGH</v>
      </c>
    </row>
    <row r="35" spans="1:20">
      <c r="A35" t="s">
        <v>27</v>
      </c>
      <c r="B35" t="s">
        <v>67</v>
      </c>
      <c r="C35">
        <v>69</v>
      </c>
      <c r="D35" t="s">
        <v>93</v>
      </c>
      <c r="E35" t="s">
        <v>95</v>
      </c>
      <c r="F35" t="s">
        <v>106</v>
      </c>
      <c r="G35" s="2">
        <v>46063</v>
      </c>
      <c r="H35" s="2">
        <v>46073</v>
      </c>
      <c r="I35" t="s">
        <v>113</v>
      </c>
      <c r="J35" t="s">
        <v>119</v>
      </c>
      <c r="K35">
        <v>72000</v>
      </c>
      <c r="L35" t="s">
        <v>121</v>
      </c>
      <c r="M35">
        <v>10</v>
      </c>
      <c r="N35" t="str">
        <f>IF(AND(L34="PENDING",K33&gt;30000),"URGENT FOLLOW-UP","NO ACTION")</f>
        <v>NO ACTION</v>
      </c>
      <c r="O35" t="str">
        <f>IF(K35&gt;40000,"HIGH ","NORMAL BILL")</f>
        <v xml:space="preserve">HIGH </v>
      </c>
      <c r="P35" t="str">
        <f>IF(C35&gt;60,"senior citizen","non senior citizen")</f>
        <v>senior citizen</v>
      </c>
      <c r="Q35" t="str">
        <f>IF(AND(K35&gt;40000,M35&gt;5),"HBC","NHBC")</f>
        <v>HBC</v>
      </c>
      <c r="T35" t="str" cm="1">
        <f t="array" ref="T35">_xlfn.SWITCH(TRUE,K35&gt;=50000,"VERY HIGH",K35&gt;=30000,"HIGH",K35&gt;15000,"MEDIUM",K35&lt;15000,"LOW")</f>
        <v>VERY HIGH</v>
      </c>
    </row>
    <row r="36" spans="1:20">
      <c r="A36" t="s">
        <v>30</v>
      </c>
      <c r="B36" t="s">
        <v>70</v>
      </c>
      <c r="C36">
        <v>33</v>
      </c>
      <c r="D36" t="s">
        <v>94</v>
      </c>
      <c r="E36" t="s">
        <v>96</v>
      </c>
      <c r="F36" t="s">
        <v>101</v>
      </c>
      <c r="G36" s="2">
        <v>46070</v>
      </c>
      <c r="H36" s="2">
        <v>46078</v>
      </c>
      <c r="I36" t="s">
        <v>114</v>
      </c>
      <c r="J36" t="s">
        <v>119</v>
      </c>
      <c r="K36">
        <v>45000</v>
      </c>
      <c r="L36" t="s">
        <v>122</v>
      </c>
      <c r="M36">
        <v>8</v>
      </c>
      <c r="N36" t="str">
        <f>IF(AND(L35="PENDING",K34&gt;30000),"URGENT FOLLOW-UP","NO ACTION")</f>
        <v>NO ACTION</v>
      </c>
      <c r="O36" t="str">
        <f>IF(K36&gt;40000,"HIGH ","NORMAL BILL")</f>
        <v xml:space="preserve">HIGH </v>
      </c>
      <c r="P36" t="str">
        <f>IF(C36&gt;60,"senior citizen","non senior citizen")</f>
        <v>non senior citizen</v>
      </c>
      <c r="Q36" t="str">
        <f>IF(AND(K36&gt;40000,M36&gt;5),"HBC","NHBC")</f>
        <v>HBC</v>
      </c>
      <c r="T36" t="str" cm="1">
        <f t="array" ref="T36">_xlfn.SWITCH(TRUE,K36&gt;=50000,"VERY HIGH",K36&gt;=30000,"HIGH",K36&gt;15000,"MEDIUM",K36&lt;15000,"LOW")</f>
        <v>HIGH</v>
      </c>
    </row>
    <row r="37" spans="1:20">
      <c r="A37" t="s">
        <v>33</v>
      </c>
      <c r="B37" t="s">
        <v>73</v>
      </c>
      <c r="C37">
        <v>40</v>
      </c>
      <c r="D37" t="s">
        <v>93</v>
      </c>
      <c r="E37" t="s">
        <v>97</v>
      </c>
      <c r="F37" t="s">
        <v>105</v>
      </c>
      <c r="G37" s="2">
        <v>46082</v>
      </c>
      <c r="H37" s="2">
        <v>46085</v>
      </c>
      <c r="I37" t="s">
        <v>115</v>
      </c>
      <c r="J37" t="s">
        <v>119</v>
      </c>
      <c r="K37">
        <v>13000</v>
      </c>
      <c r="L37" t="s">
        <v>121</v>
      </c>
      <c r="M37">
        <v>3</v>
      </c>
      <c r="N37" t="str">
        <f>IF(AND(L36="PENDING",K35&gt;30000),"URGENT FOLLOW-UP","NO ACTION")</f>
        <v>URGENT FOLLOW-UP</v>
      </c>
      <c r="O37" t="str">
        <f>IF(K37&gt;40000,"HIGH ","NORMAL BILL")</f>
        <v>NORMAL BILL</v>
      </c>
      <c r="P37" t="str">
        <f>IF(C37&gt;60,"senior citizen","non senior citizen")</f>
        <v>non senior citizen</v>
      </c>
      <c r="Q37" t="str">
        <f>IF(AND(K37&gt;40000,M37&gt;5),"HBC","NHBC")</f>
        <v>NHBC</v>
      </c>
      <c r="T37" t="str" cm="1">
        <f t="array" ref="T37">_xlfn.SWITCH(TRUE,K37&gt;=50000,"VERY HIGH",K37&gt;=30000,"HIGH",K37&gt;15000,"MEDIUM",K37&lt;15000,"LOW")</f>
        <v>LOW</v>
      </c>
    </row>
    <row r="38" spans="1:20">
      <c r="A38" t="s">
        <v>36</v>
      </c>
      <c r="B38" t="s">
        <v>76</v>
      </c>
      <c r="C38">
        <v>51</v>
      </c>
      <c r="D38" t="s">
        <v>94</v>
      </c>
      <c r="E38" t="s">
        <v>99</v>
      </c>
      <c r="F38" t="s">
        <v>112</v>
      </c>
      <c r="G38" s="2">
        <v>46088</v>
      </c>
      <c r="H38" s="2">
        <v>46091</v>
      </c>
      <c r="I38" t="s">
        <v>117</v>
      </c>
      <c r="J38" t="s">
        <v>119</v>
      </c>
      <c r="K38">
        <v>15500</v>
      </c>
      <c r="L38" t="s">
        <v>121</v>
      </c>
      <c r="M38">
        <v>3</v>
      </c>
      <c r="N38" t="str">
        <f>IF(AND(L37="PENDING",K36&gt;30000),"URGENT FOLLOW-UP","NO ACTION")</f>
        <v>NO ACTION</v>
      </c>
      <c r="O38" t="str">
        <f>IF(K38&gt;40000,"HIGH ","NORMAL BILL")</f>
        <v>NORMAL BILL</v>
      </c>
      <c r="P38" t="b">
        <f>IF(C38&gt;60,"senior citizen")</f>
        <v>0</v>
      </c>
      <c r="Q38" t="str">
        <f>IF(AND(K38&gt;40000,M38&gt;5),"HBC","NHBC")</f>
        <v>NHBC</v>
      </c>
      <c r="T38" t="str" cm="1">
        <f t="array" ref="T38">_xlfn.SWITCH(TRUE,K38&gt;=50000,"VERY HIGH",K38&gt;=30000,"HIGH",K38&gt;15000,"MEDIUM",K38&lt;15000,"LOW")</f>
        <v>MEDIUM</v>
      </c>
    </row>
    <row r="39" spans="1:20">
      <c r="A39" t="s">
        <v>37</v>
      </c>
      <c r="B39" t="s">
        <v>77</v>
      </c>
      <c r="C39">
        <v>70</v>
      </c>
      <c r="D39" t="s">
        <v>93</v>
      </c>
      <c r="E39" t="s">
        <v>95</v>
      </c>
      <c r="F39" t="s">
        <v>106</v>
      </c>
      <c r="G39" s="2">
        <v>46091</v>
      </c>
      <c r="H39" s="2">
        <v>46102</v>
      </c>
      <c r="I39" t="s">
        <v>113</v>
      </c>
      <c r="J39" t="s">
        <v>119</v>
      </c>
      <c r="K39">
        <v>76000</v>
      </c>
      <c r="L39" t="s">
        <v>121</v>
      </c>
      <c r="M39">
        <v>11</v>
      </c>
      <c r="N39" t="str">
        <f>IF(AND(L38="PENDING",K37&gt;30000),"URGENT FOLLOW-UP","NO ACTION")</f>
        <v>NO ACTION</v>
      </c>
      <c r="O39" t="str">
        <f>IF(K39&gt;40000,"HIGH ","NORMAL BILL")</f>
        <v xml:space="preserve">HIGH </v>
      </c>
      <c r="P39" t="str">
        <f>IF(C39&gt;60,"senior citizen")</f>
        <v>senior citizen</v>
      </c>
      <c r="Q39" t="str">
        <f>IF(AND(K39&gt;40000,M39&gt;5),"HBC","NHBC")</f>
        <v>HBC</v>
      </c>
      <c r="T39" t="str" cm="1">
        <f t="array" ref="T39">_xlfn.SWITCH(TRUE,K39&gt;=50000,"VERY HIGH",K39&gt;=30000,"HIGH",K39&gt;15000,"MEDIUM",K39&lt;15000,"LOW")</f>
        <v>VERY HIGH</v>
      </c>
    </row>
    <row r="40" spans="1:20">
      <c r="A40" t="s">
        <v>42</v>
      </c>
      <c r="B40" t="s">
        <v>82</v>
      </c>
      <c r="C40">
        <v>46</v>
      </c>
      <c r="D40" t="s">
        <v>94</v>
      </c>
      <c r="E40" t="s">
        <v>95</v>
      </c>
      <c r="F40" t="s">
        <v>100</v>
      </c>
      <c r="G40" s="2">
        <v>46103</v>
      </c>
      <c r="H40" s="2">
        <v>46107</v>
      </c>
      <c r="I40" t="s">
        <v>113</v>
      </c>
      <c r="J40" t="s">
        <v>119</v>
      </c>
      <c r="K40">
        <v>24500</v>
      </c>
      <c r="L40" t="s">
        <v>121</v>
      </c>
      <c r="M40">
        <v>4</v>
      </c>
      <c r="N40" t="str">
        <f>IF(AND(L39="PENDING",K38&gt;30000),"URGENT FOLLOW-UP","NO ACTION")</f>
        <v>NO ACTION</v>
      </c>
      <c r="O40" t="str">
        <f>IF(K40&gt;40000,"HIGH ","NORMAL BILL")</f>
        <v>NORMAL BILL</v>
      </c>
      <c r="P40" t="b">
        <f>IF(C40&gt;60,"senior citizen")</f>
        <v>0</v>
      </c>
      <c r="Q40" t="str">
        <f>IF(AND(K40&gt;40000,M40&gt;5),"HBC","NHBC")</f>
        <v>NHBC</v>
      </c>
      <c r="T40" t="str" cm="1">
        <f t="array" ref="T40">_xlfn.SWITCH(TRUE,K40&gt;=50000,"VERY HIGH",K40&gt;=30000,"HIGH",K40&gt;15000,"MEDIUM",K40&lt;15000,"LOW")</f>
        <v>MEDIUM</v>
      </c>
    </row>
    <row r="41" spans="1:20">
      <c r="A41" t="s">
        <v>44</v>
      </c>
      <c r="B41" t="s">
        <v>84</v>
      </c>
      <c r="C41">
        <v>62</v>
      </c>
      <c r="D41" t="s">
        <v>94</v>
      </c>
      <c r="E41" t="s">
        <v>98</v>
      </c>
      <c r="F41" t="s">
        <v>110</v>
      </c>
      <c r="G41" s="2">
        <v>46115</v>
      </c>
      <c r="H41" s="2">
        <v>46122</v>
      </c>
      <c r="I41" t="s">
        <v>116</v>
      </c>
      <c r="J41" t="s">
        <v>119</v>
      </c>
      <c r="K41">
        <v>41000</v>
      </c>
      <c r="L41" t="s">
        <v>121</v>
      </c>
      <c r="M41">
        <v>7</v>
      </c>
      <c r="N41" t="str">
        <f>IF(AND(L40="PENDING",K39&gt;30000),"URGENT FOLLOW-UP","NO ACTION")</f>
        <v>NO ACTION</v>
      </c>
      <c r="O41" t="str">
        <f>IF(K41&gt;40000,"HIGH ","NORMAL BILL")</f>
        <v xml:space="preserve">HIGH </v>
      </c>
      <c r="P41" t="str">
        <f>IF(C41&gt;60,"senior citizen")</f>
        <v>senior citizen</v>
      </c>
      <c r="Q41" t="str">
        <f>IF(AND(K41&gt;40000,M41&gt;5),"HBC","NHBC")</f>
        <v>HBC</v>
      </c>
      <c r="T41" t="str" cm="1">
        <f t="array" ref="T41">_xlfn.SWITCH(TRUE,K41&gt;=50000,"VERY HIGH",K41&gt;=30000,"HIGH",K41&gt;15000,"MEDIUM",K41&lt;15000,"LOW")</f>
        <v>HIGH</v>
      </c>
    </row>
    <row r="42" spans="1:20">
      <c r="A42" t="s">
        <v>47</v>
      </c>
      <c r="B42" t="s">
        <v>87</v>
      </c>
      <c r="C42">
        <v>66</v>
      </c>
      <c r="D42" t="s">
        <v>93</v>
      </c>
      <c r="E42" t="s">
        <v>95</v>
      </c>
      <c r="F42" t="s">
        <v>103</v>
      </c>
      <c r="G42" s="2">
        <v>46122</v>
      </c>
      <c r="H42" s="2">
        <v>46128</v>
      </c>
      <c r="I42" t="s">
        <v>113</v>
      </c>
      <c r="J42" t="s">
        <v>119</v>
      </c>
      <c r="K42">
        <v>35000</v>
      </c>
      <c r="L42" t="s">
        <v>121</v>
      </c>
      <c r="M42">
        <v>6</v>
      </c>
      <c r="N42" t="str">
        <f>IF(AND(L41="PENDING",K40&gt;30000),"URGENT FOLLOW-UP","NO ACTION")</f>
        <v>NO ACTION</v>
      </c>
      <c r="O42" t="str">
        <f>IF(K42&gt;40000,"HIGH ","NORMAL BILL")</f>
        <v>NORMAL BILL</v>
      </c>
      <c r="P42" t="str">
        <f>IF(C42&gt;60,"senior citizen")</f>
        <v>senior citizen</v>
      </c>
      <c r="Q42" t="str">
        <f>IF(AND(K42&gt;40000,M42&gt;5),"HBC","NHBC")</f>
        <v>NHBC</v>
      </c>
      <c r="T42" t="str" cm="1">
        <f t="array" ref="T42">_xlfn.SWITCH(TRUE,K42&gt;=50000,"VERY HIGH",K42&gt;=30000,"HIGH",K42&gt;15000,"MEDIUM",K42&lt;15000,"LOW")</f>
        <v>HIGH</v>
      </c>
    </row>
    <row r="43" spans="1:20">
      <c r="A43" t="s">
        <v>51</v>
      </c>
      <c r="B43" t="s">
        <v>91</v>
      </c>
      <c r="C43">
        <v>71</v>
      </c>
      <c r="D43" t="s">
        <v>93</v>
      </c>
      <c r="E43" t="s">
        <v>99</v>
      </c>
      <c r="F43" t="s">
        <v>107</v>
      </c>
      <c r="G43" s="2">
        <v>46132</v>
      </c>
      <c r="H43" s="2">
        <v>46136</v>
      </c>
      <c r="I43" t="s">
        <v>117</v>
      </c>
      <c r="J43" t="s">
        <v>119</v>
      </c>
      <c r="K43">
        <v>12500</v>
      </c>
      <c r="L43" t="s">
        <v>121</v>
      </c>
      <c r="M43">
        <v>4</v>
      </c>
      <c r="N43" t="str">
        <f>IF(AND(L42="PENDING",K41&gt;30000),"URGENT FOLLOW-UP","NO ACTION")</f>
        <v>NO ACTION</v>
      </c>
      <c r="O43" t="str">
        <f>IF(K43&gt;40000,"HIGH ","NORMAL BILL")</f>
        <v>NORMAL BILL</v>
      </c>
      <c r="P43" t="str">
        <f>IF(C43&gt;60,"senior citizen")</f>
        <v>senior citizen</v>
      </c>
      <c r="Q43" t="str">
        <f>IF(AND(K43&gt;40000,M43&gt;5),"HBC","NHBC")</f>
        <v>NHBC</v>
      </c>
      <c r="T43" t="str" cm="1">
        <f t="array" ref="T43">_xlfn.SWITCH(K43&gt;=50000,"VERY HIGH",K43&gt;=30000,"HIGH",K43&gt;15000,"MEDIUM",K43&lt;15000,"LOW")</f>
        <v>LOW</v>
      </c>
    </row>
    <row r="44" spans="1:20">
      <c r="L44" t="s">
        <v>121</v>
      </c>
    </row>
    <row r="46" spans="1:20">
      <c r="J46" t="s">
        <v>4</v>
      </c>
    </row>
    <row r="47" spans="1:20">
      <c r="E47" t="s">
        <v>123</v>
      </c>
      <c r="H47">
        <f>SUM(amount)</f>
        <v>972000</v>
      </c>
      <c r="J47" t="s">
        <v>234</v>
      </c>
    </row>
    <row r="48" spans="1:20">
      <c r="E48" t="s">
        <v>138</v>
      </c>
      <c r="H48">
        <f>SUMIF(type,E41,amount)</f>
        <v>179000</v>
      </c>
      <c r="I48">
        <f>DSUM(A1:V41,5,J46:J47)</f>
        <v>0</v>
      </c>
    </row>
    <row r="49" spans="5:12">
      <c r="E49" t="s">
        <v>139</v>
      </c>
      <c r="H49">
        <f>COUNTIF(type,E39)</f>
        <v>9</v>
      </c>
    </row>
    <row r="50" spans="5:12">
      <c r="E50" t="s">
        <v>140</v>
      </c>
      <c r="H50">
        <f>AVERAGE(E1,E41,amount)</f>
        <v>25578.947368421053</v>
      </c>
    </row>
    <row r="51" spans="5:12">
      <c r="E51" t="s">
        <v>124</v>
      </c>
      <c r="H51">
        <f>SUM(J1,J31:J43,amount)</f>
        <v>972000</v>
      </c>
    </row>
    <row r="52" spans="5:12">
      <c r="E52" t="s">
        <v>125</v>
      </c>
      <c r="H52">
        <f>COUNTA(L1:L44,"pending")</f>
        <v>43</v>
      </c>
    </row>
    <row r="53" spans="5:12">
      <c r="E53" t="s">
        <v>126</v>
      </c>
      <c r="H53">
        <f>COUNTA(L1:N43)</f>
        <v>123</v>
      </c>
    </row>
    <row r="54" spans="5:12">
      <c r="E54" t="s">
        <v>127</v>
      </c>
      <c r="H54" t="s">
        <v>237</v>
      </c>
    </row>
    <row r="55" spans="5:12">
      <c r="E55" t="s">
        <v>128</v>
      </c>
    </row>
    <row r="56" spans="5:12">
      <c r="E56" t="s">
        <v>129</v>
      </c>
    </row>
    <row r="57" spans="5:12">
      <c r="E57" t="s">
        <v>130</v>
      </c>
      <c r="H57">
        <f>COUNTIF(amount,"&gt;40000")</f>
        <v>9</v>
      </c>
    </row>
    <row r="58" spans="5:12">
      <c r="E58" t="s">
        <v>131</v>
      </c>
    </row>
    <row r="59" spans="5:12">
      <c r="E59" t="s">
        <v>132</v>
      </c>
    </row>
    <row r="60" spans="5:12">
      <c r="E60" t="s">
        <v>133</v>
      </c>
      <c r="K60" t="s">
        <v>4</v>
      </c>
      <c r="L60" t="s">
        <v>235</v>
      </c>
    </row>
    <row r="61" spans="5:12">
      <c r="E61" t="s">
        <v>134</v>
      </c>
      <c r="K61" t="s">
        <v>95</v>
      </c>
      <c r="L61" t="s">
        <v>119</v>
      </c>
    </row>
    <row r="62" spans="5:12">
      <c r="E62" t="s">
        <v>135</v>
      </c>
    </row>
    <row r="63" spans="5:12">
      <c r="E63" t="s">
        <v>136</v>
      </c>
    </row>
    <row r="64" spans="5:12">
      <c r="E64" t="s">
        <v>137</v>
      </c>
    </row>
    <row r="65" spans="5:5">
      <c r="E65" t="s">
        <v>141</v>
      </c>
    </row>
    <row r="66" spans="5:5">
      <c r="E66" t="s">
        <v>142</v>
      </c>
    </row>
  </sheetData>
  <conditionalFormatting sqref="K1:K1048576">
    <cfRule type="cellIs" dxfId="1" priority="2" operator="greaterThan">
      <formula>25000</formula>
    </cfRule>
  </conditionalFormatting>
  <conditionalFormatting sqref="J1:J1048576">
    <cfRule type="containsText" dxfId="0" priority="1" operator="containsText" text="government">
      <formula>NOT(ISERROR(SEARCH("government",J1)))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C642-27D6-44E5-9163-DA270655D0F5}">
  <dimension ref="A1:C47"/>
  <sheetViews>
    <sheetView topLeftCell="A69" workbookViewId="0">
      <selection activeCell="B34" sqref="B34"/>
    </sheetView>
  </sheetViews>
  <sheetFormatPr defaultRowHeight="15"/>
  <cols>
    <col min="1" max="1" width="98.140625" customWidth="1"/>
    <col min="2" max="2" width="14" customWidth="1"/>
  </cols>
  <sheetData>
    <row r="1" spans="1:1">
      <c r="A1" s="10" t="s">
        <v>186</v>
      </c>
    </row>
    <row r="2" spans="1:1">
      <c r="A2" t="s">
        <v>187</v>
      </c>
    </row>
    <row r="3" spans="1:1">
      <c r="A3" t="s">
        <v>188</v>
      </c>
    </row>
    <row r="5" spans="1:1">
      <c r="A5" t="s">
        <v>189</v>
      </c>
    </row>
    <row r="6" spans="1:1">
      <c r="A6" s="11" t="s">
        <v>190</v>
      </c>
    </row>
    <row r="7" spans="1:1">
      <c r="A7" s="11" t="s">
        <v>191</v>
      </c>
    </row>
    <row r="9" spans="1:1">
      <c r="A9" t="s">
        <v>192</v>
      </c>
    </row>
    <row r="10" spans="1:1">
      <c r="A10" t="s">
        <v>194</v>
      </c>
    </row>
    <row r="11" spans="1:1">
      <c r="A11" t="s">
        <v>193</v>
      </c>
    </row>
    <row r="12" spans="1:1">
      <c r="A12" s="11"/>
    </row>
    <row r="13" spans="1:1">
      <c r="A13" t="s">
        <v>195</v>
      </c>
    </row>
    <row r="14" spans="1:1">
      <c r="A14" s="11" t="s">
        <v>196</v>
      </c>
    </row>
    <row r="15" spans="1:1">
      <c r="A15" s="12" t="s">
        <v>197</v>
      </c>
    </row>
    <row r="16" spans="1:1">
      <c r="A16" s="11" t="s">
        <v>198</v>
      </c>
    </row>
    <row r="18" spans="1:3">
      <c r="A18" t="s">
        <v>199</v>
      </c>
    </row>
    <row r="19" spans="1:3">
      <c r="A19" s="11" t="s">
        <v>200</v>
      </c>
    </row>
    <row r="20" spans="1:3">
      <c r="A20" s="11" t="s">
        <v>197</v>
      </c>
    </row>
    <row r="21" spans="1:3">
      <c r="A21" s="11" t="s">
        <v>201</v>
      </c>
    </row>
    <row r="23" spans="1:3">
      <c r="A23" t="s">
        <v>202</v>
      </c>
    </row>
    <row r="24" spans="1:3">
      <c r="A24" s="11" t="s">
        <v>203</v>
      </c>
    </row>
    <row r="25" spans="1:3">
      <c r="A25" s="11" t="s">
        <v>204</v>
      </c>
    </row>
    <row r="27" spans="1:3">
      <c r="A27" t="s">
        <v>205</v>
      </c>
    </row>
    <row r="28" spans="1:3">
      <c r="A28" t="s">
        <v>206</v>
      </c>
    </row>
    <row r="29" spans="1:3">
      <c r="A29" s="13"/>
    </row>
    <row r="30" spans="1:3">
      <c r="A30" t="s">
        <v>207</v>
      </c>
      <c r="B30" s="4" t="s">
        <v>208</v>
      </c>
      <c r="C30" s="5" t="s">
        <v>209</v>
      </c>
    </row>
    <row r="31" spans="1:3" ht="30">
      <c r="B31" s="3" t="s">
        <v>210</v>
      </c>
      <c r="C31" s="6" t="s">
        <v>211</v>
      </c>
    </row>
    <row r="32" spans="1:3">
      <c r="B32" s="3" t="s">
        <v>212</v>
      </c>
      <c r="C32" s="6" t="s">
        <v>213</v>
      </c>
    </row>
    <row r="33" spans="1:3">
      <c r="A33" s="13"/>
      <c r="B33" s="3" t="s">
        <v>214</v>
      </c>
      <c r="C33" s="6" t="s">
        <v>215</v>
      </c>
    </row>
    <row r="34" spans="1:3">
      <c r="B34" s="3" t="s">
        <v>216</v>
      </c>
      <c r="C34" s="6" t="s">
        <v>217</v>
      </c>
    </row>
    <row r="37" spans="1:3">
      <c r="A37" t="s">
        <v>218</v>
      </c>
    </row>
    <row r="38" spans="1:3">
      <c r="A38" s="11" t="s">
        <v>219</v>
      </c>
    </row>
    <row r="39" spans="1:3">
      <c r="A39" s="11" t="s">
        <v>220</v>
      </c>
    </row>
    <row r="40" spans="1:3">
      <c r="A40" t="s">
        <v>221</v>
      </c>
    </row>
    <row r="42" spans="1:3">
      <c r="A42" t="s">
        <v>224</v>
      </c>
    </row>
    <row r="43" spans="1:3">
      <c r="A43" s="11"/>
    </row>
    <row r="44" spans="1:3">
      <c r="A44" s="11" t="s">
        <v>225</v>
      </c>
    </row>
    <row r="45" spans="1:3">
      <c r="A45" s="12" t="s">
        <v>226</v>
      </c>
    </row>
    <row r="47" spans="1:3">
      <c r="A47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1AF7B-FEF6-4828-8271-552716DAF040}">
  <dimension ref="A1:D31"/>
  <sheetViews>
    <sheetView workbookViewId="0">
      <selection activeCell="G21" sqref="G21"/>
    </sheetView>
  </sheetViews>
  <sheetFormatPr defaultRowHeight="15"/>
  <cols>
    <col min="2" max="2" width="23.5703125" customWidth="1"/>
    <col min="3" max="3" width="17.28515625" customWidth="1"/>
    <col min="4" max="4" width="21.140625" customWidth="1"/>
  </cols>
  <sheetData>
    <row r="1" spans="1:4">
      <c r="A1" s="4" t="s">
        <v>143</v>
      </c>
      <c r="B1" s="5" t="s">
        <v>144</v>
      </c>
      <c r="C1" s="5" t="s">
        <v>145</v>
      </c>
      <c r="D1" s="4" t="s">
        <v>146</v>
      </c>
    </row>
    <row r="2" spans="1:4">
      <c r="A2" s="3">
        <v>1</v>
      </c>
      <c r="B2" s="6" t="s">
        <v>147</v>
      </c>
      <c r="C2" s="7" t="s">
        <v>148</v>
      </c>
      <c r="D2" s="8">
        <v>1019500</v>
      </c>
    </row>
    <row r="3" spans="1:4">
      <c r="A3" s="3">
        <v>2</v>
      </c>
      <c r="B3" s="6" t="s">
        <v>149</v>
      </c>
      <c r="C3" s="7" t="s">
        <v>150</v>
      </c>
      <c r="D3" s="8">
        <v>443500</v>
      </c>
    </row>
    <row r="4" spans="1:4">
      <c r="A4" s="3">
        <v>2</v>
      </c>
      <c r="B4" s="6" t="s">
        <v>151</v>
      </c>
      <c r="C4" s="7" t="s">
        <v>150</v>
      </c>
      <c r="D4" s="8">
        <v>89500</v>
      </c>
    </row>
    <row r="5" spans="1:4">
      <c r="A5" s="3">
        <v>2</v>
      </c>
      <c r="B5" s="6" t="s">
        <v>152</v>
      </c>
      <c r="C5" s="7" t="s">
        <v>150</v>
      </c>
      <c r="D5" s="8">
        <v>77500</v>
      </c>
    </row>
    <row r="6" spans="1:4">
      <c r="A6" s="3">
        <v>2</v>
      </c>
      <c r="B6" s="6" t="s">
        <v>153</v>
      </c>
      <c r="C6" s="7" t="s">
        <v>150</v>
      </c>
      <c r="D6" s="8">
        <v>179000</v>
      </c>
    </row>
    <row r="7" spans="1:4">
      <c r="A7" s="3">
        <v>2</v>
      </c>
      <c r="B7" s="6" t="s">
        <v>154</v>
      </c>
      <c r="C7" s="7" t="s">
        <v>150</v>
      </c>
      <c r="D7" s="8">
        <v>230000</v>
      </c>
    </row>
    <row r="8" spans="1:4">
      <c r="A8" s="3">
        <v>3</v>
      </c>
      <c r="B8" s="6" t="s">
        <v>155</v>
      </c>
      <c r="C8" s="7" t="s">
        <v>156</v>
      </c>
      <c r="D8" s="4">
        <v>10</v>
      </c>
    </row>
    <row r="9" spans="1:4">
      <c r="A9" s="3">
        <v>3</v>
      </c>
      <c r="B9" s="6" t="s">
        <v>157</v>
      </c>
      <c r="C9" s="7" t="s">
        <v>156</v>
      </c>
      <c r="D9" s="4">
        <v>7</v>
      </c>
    </row>
    <row r="10" spans="1:4" ht="30">
      <c r="A10" s="3">
        <v>3</v>
      </c>
      <c r="B10" s="6" t="s">
        <v>158</v>
      </c>
      <c r="C10" s="7" t="s">
        <v>156</v>
      </c>
      <c r="D10" s="4">
        <v>8</v>
      </c>
    </row>
    <row r="11" spans="1:4">
      <c r="A11" s="3">
        <v>3</v>
      </c>
      <c r="B11" s="6" t="s">
        <v>159</v>
      </c>
      <c r="C11" s="7" t="s">
        <v>156</v>
      </c>
      <c r="D11" s="4">
        <v>7</v>
      </c>
    </row>
    <row r="12" spans="1:4">
      <c r="A12" s="3">
        <v>3</v>
      </c>
      <c r="B12" s="6" t="s">
        <v>160</v>
      </c>
      <c r="C12" s="7" t="s">
        <v>156</v>
      </c>
      <c r="D12" s="4">
        <v>8</v>
      </c>
    </row>
    <row r="13" spans="1:4">
      <c r="A13" s="3">
        <v>4</v>
      </c>
      <c r="B13" s="6" t="s">
        <v>161</v>
      </c>
      <c r="C13" s="7" t="s">
        <v>162</v>
      </c>
      <c r="D13" s="8">
        <v>44350</v>
      </c>
    </row>
    <row r="14" spans="1:4">
      <c r="A14" s="3">
        <v>4</v>
      </c>
      <c r="B14" s="6" t="s">
        <v>163</v>
      </c>
      <c r="C14" s="7" t="s">
        <v>162</v>
      </c>
      <c r="D14" s="9">
        <v>12785.71</v>
      </c>
    </row>
    <row r="15" spans="1:4" ht="30">
      <c r="A15" s="3">
        <v>4</v>
      </c>
      <c r="B15" s="6" t="s">
        <v>164</v>
      </c>
      <c r="C15" s="7" t="s">
        <v>162</v>
      </c>
      <c r="D15" s="9">
        <v>9687.5</v>
      </c>
    </row>
    <row r="16" spans="1:4">
      <c r="A16" s="3">
        <v>4</v>
      </c>
      <c r="B16" s="6" t="s">
        <v>165</v>
      </c>
      <c r="C16" s="7" t="s">
        <v>162</v>
      </c>
      <c r="D16" s="9">
        <v>25571.43</v>
      </c>
    </row>
    <row r="17" spans="1:4">
      <c r="A17" s="3">
        <v>4</v>
      </c>
      <c r="B17" s="6" t="s">
        <v>166</v>
      </c>
      <c r="C17" s="7" t="s">
        <v>162</v>
      </c>
      <c r="D17" s="8">
        <v>28750</v>
      </c>
    </row>
    <row r="18" spans="1:4">
      <c r="A18" s="3">
        <v>5</v>
      </c>
      <c r="B18" s="6" t="s">
        <v>167</v>
      </c>
      <c r="C18" s="7" t="s">
        <v>150</v>
      </c>
      <c r="D18" s="8">
        <v>499500</v>
      </c>
    </row>
    <row r="19" spans="1:4">
      <c r="A19" s="3">
        <v>6</v>
      </c>
      <c r="B19" s="6" t="s">
        <v>168</v>
      </c>
      <c r="C19" s="7" t="s">
        <v>156</v>
      </c>
      <c r="D19" s="4">
        <v>10</v>
      </c>
    </row>
    <row r="20" spans="1:4">
      <c r="A20" s="3">
        <v>7</v>
      </c>
      <c r="B20" s="6" t="s">
        <v>169</v>
      </c>
      <c r="C20" s="7" t="s">
        <v>150</v>
      </c>
      <c r="D20" s="8">
        <v>344500</v>
      </c>
    </row>
    <row r="21" spans="1:4" ht="30">
      <c r="A21" s="3">
        <v>8</v>
      </c>
      <c r="B21" s="6" t="s">
        <v>170</v>
      </c>
      <c r="C21" s="7" t="s">
        <v>171</v>
      </c>
      <c r="D21" s="8">
        <v>275500</v>
      </c>
    </row>
    <row r="22" spans="1:4">
      <c r="A22" s="3">
        <v>9</v>
      </c>
      <c r="B22" s="6" t="s">
        <v>172</v>
      </c>
      <c r="C22" s="7" t="s">
        <v>173</v>
      </c>
      <c r="D22" s="4">
        <v>4</v>
      </c>
    </row>
    <row r="23" spans="1:4">
      <c r="A23" s="3">
        <v>10</v>
      </c>
      <c r="B23" s="6" t="s">
        <v>174</v>
      </c>
      <c r="C23" s="7" t="s">
        <v>162</v>
      </c>
      <c r="D23" s="9">
        <v>25766.67</v>
      </c>
    </row>
    <row r="24" spans="1:4">
      <c r="A24" s="3">
        <v>11</v>
      </c>
      <c r="B24" s="6" t="s">
        <v>175</v>
      </c>
      <c r="C24" s="7" t="s">
        <v>156</v>
      </c>
      <c r="D24" s="4">
        <v>9</v>
      </c>
    </row>
    <row r="25" spans="1:4">
      <c r="A25" s="3">
        <v>12</v>
      </c>
      <c r="B25" s="6" t="s">
        <v>176</v>
      </c>
      <c r="C25" s="7" t="s">
        <v>150</v>
      </c>
      <c r="D25" s="8">
        <v>508000</v>
      </c>
    </row>
    <row r="26" spans="1:4">
      <c r="A26" s="3">
        <v>13</v>
      </c>
      <c r="B26" s="6" t="s">
        <v>177</v>
      </c>
      <c r="C26" s="7" t="s">
        <v>156</v>
      </c>
      <c r="D26" s="4">
        <v>11</v>
      </c>
    </row>
    <row r="27" spans="1:4">
      <c r="A27" s="3">
        <v>14</v>
      </c>
      <c r="B27" s="6" t="s">
        <v>178</v>
      </c>
      <c r="C27" s="7" t="s">
        <v>150</v>
      </c>
      <c r="D27" s="8">
        <v>582000</v>
      </c>
    </row>
    <row r="28" spans="1:4">
      <c r="A28" s="3">
        <v>15</v>
      </c>
      <c r="B28" s="6" t="s">
        <v>179</v>
      </c>
      <c r="C28" s="7" t="s">
        <v>171</v>
      </c>
      <c r="D28" s="8">
        <v>320000</v>
      </c>
    </row>
    <row r="29" spans="1:4" ht="30">
      <c r="A29" s="3">
        <v>16</v>
      </c>
      <c r="B29" s="6" t="s">
        <v>180</v>
      </c>
      <c r="C29" s="7" t="s">
        <v>162</v>
      </c>
      <c r="D29" s="4" t="s">
        <v>181</v>
      </c>
    </row>
    <row r="30" spans="1:4">
      <c r="A30" s="3">
        <v>17</v>
      </c>
      <c r="B30" s="6" t="s">
        <v>182</v>
      </c>
      <c r="C30" s="7" t="s">
        <v>183</v>
      </c>
      <c r="D30" s="8">
        <v>76000</v>
      </c>
    </row>
    <row r="31" spans="1:4" ht="30">
      <c r="A31" s="3">
        <v>18</v>
      </c>
      <c r="B31" s="6" t="s">
        <v>184</v>
      </c>
      <c r="C31" s="7" t="s">
        <v>185</v>
      </c>
      <c r="D31" s="8">
        <v>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Patient_Data</vt:lpstr>
      <vt:lpstr>Questions</vt:lpstr>
      <vt:lpstr>Answers</vt:lpstr>
      <vt:lpstr>amount</vt:lpstr>
      <vt:lpstr>Bills</vt:lpstr>
      <vt:lpstr>Department</vt:lpstr>
      <vt:lpstr>dept</vt:lpstr>
      <vt:lpstr>STAY</vt:lpstr>
      <vt:lpstr>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KDMS</cp:lastModifiedBy>
  <dcterms:created xsi:type="dcterms:W3CDTF">2026-09-09T05:55:57Z</dcterms:created>
  <dcterms:modified xsi:type="dcterms:W3CDTF">2026-09-27T16:52:08Z</dcterms:modified>
</cp:coreProperties>
</file>